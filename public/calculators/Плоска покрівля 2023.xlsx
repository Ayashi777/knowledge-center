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codeName="ЭтаКнига" defaultThemeVersion="124226"/>
  <xr:revisionPtr revIDLastSave="0" documentId="8_{FCA78DAF-279B-479A-9E0C-CBDF1506A2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ані" sheetId="2" r:id="rId1"/>
    <sheet name="Программа" sheetId="3" state="hidden" r:id="rId2"/>
    <sheet name="Программа2" sheetId="4" state="hidden" r:id="rId3"/>
    <sheet name="Результат" sheetId="1" r:id="rId4"/>
    <sheet name="Результат2" sheetId="5" state="hidden" r:id="rId5"/>
  </sheets>
  <definedNames>
    <definedName name="_xlnm._FilterDatabase" localSheetId="3" hidden="1">Результат!$B$6:$C$22</definedName>
    <definedName name="_xlnm._FilterDatabase" localSheetId="4" hidden="1">Результат2!$B$6:$C$20</definedName>
    <definedName name="_xlnm.Print_Area" localSheetId="3">Результат!$B$1:$E$27</definedName>
    <definedName name="_xlnm.Print_Area" localSheetId="4">Результат2!$B$1:$E$22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8" i="3" l="1"/>
  <c r="B21" i="1" s="1"/>
  <c r="F145" i="3"/>
  <c r="F144" i="3"/>
  <c r="F148" i="3" s="1"/>
  <c r="E146" i="3"/>
  <c r="E145" i="3"/>
  <c r="E144" i="3"/>
  <c r="E148" i="3" s="1"/>
  <c r="D148" i="3" l="1"/>
  <c r="B22" i="1" s="1"/>
  <c r="C148" i="3"/>
  <c r="B20" i="1" s="1"/>
  <c r="B115" i="3"/>
  <c r="C119" i="3" l="1"/>
  <c r="B141" i="3" l="1"/>
  <c r="D19" i="1" s="1"/>
  <c r="B137" i="3"/>
  <c r="B18" i="1" s="1"/>
  <c r="G70" i="3"/>
  <c r="C134" i="3" s="1"/>
  <c r="C136" i="3" s="1"/>
  <c r="D18" i="1" s="1"/>
  <c r="E129" i="3" l="1"/>
  <c r="B12" i="1" s="1"/>
  <c r="H129" i="3"/>
  <c r="E12" i="1" s="1"/>
  <c r="B11" i="1"/>
  <c r="C57" i="3"/>
  <c r="C128" i="3"/>
  <c r="D128" i="3" s="1"/>
  <c r="C127" i="3"/>
  <c r="D127" i="3" s="1"/>
  <c r="C126" i="3"/>
  <c r="D126" i="3" s="1"/>
  <c r="C70" i="3" l="1"/>
  <c r="D24" i="1" l="1"/>
  <c r="D25" i="1" s="1"/>
  <c r="C74" i="3" l="1"/>
  <c r="C73" i="3"/>
  <c r="E11" i="3"/>
  <c r="E7" i="3"/>
  <c r="E5" i="3"/>
  <c r="E6" i="3" s="1"/>
  <c r="E8" i="3" s="1"/>
  <c r="E4" i="3"/>
  <c r="D7" i="3"/>
  <c r="C8" i="3"/>
  <c r="C7" i="3"/>
  <c r="D11" i="3"/>
  <c r="D10" i="3"/>
  <c r="D4" i="3"/>
  <c r="C11" i="3"/>
  <c r="C9" i="3"/>
  <c r="C6" i="3"/>
  <c r="C41" i="3" l="1"/>
  <c r="C42" i="3"/>
  <c r="C43" i="3"/>
  <c r="C44" i="3"/>
  <c r="C40" i="3"/>
  <c r="C36" i="3"/>
  <c r="C37" i="3"/>
  <c r="C38" i="3"/>
  <c r="C39" i="3"/>
  <c r="D14" i="1"/>
  <c r="E39" i="3" l="1"/>
  <c r="E38" i="3"/>
  <c r="C35" i="3"/>
  <c r="E36" i="3"/>
  <c r="E37" i="3"/>
  <c r="D14" i="5"/>
  <c r="C49" i="4"/>
  <c r="E49" i="4" s="1"/>
  <c r="B106" i="4"/>
  <c r="C36" i="4"/>
  <c r="C35" i="4"/>
  <c r="D18" i="5"/>
  <c r="D15" i="5"/>
  <c r="B4" i="5"/>
  <c r="D117" i="4"/>
  <c r="C117" i="4"/>
  <c r="D116" i="4"/>
  <c r="C116" i="4"/>
  <c r="C110" i="4"/>
  <c r="C109" i="4"/>
  <c r="E109" i="4" s="1"/>
  <c r="C103" i="4"/>
  <c r="B95" i="4"/>
  <c r="C111" i="4" s="1"/>
  <c r="G94" i="4"/>
  <c r="F94" i="4"/>
  <c r="E94" i="4"/>
  <c r="D94" i="4"/>
  <c r="C94" i="4"/>
  <c r="C66" i="4"/>
  <c r="C65" i="4"/>
  <c r="C67" i="4" s="1"/>
  <c r="D17" i="5" s="1"/>
  <c r="F62" i="4"/>
  <c r="C96" i="4" s="1"/>
  <c r="E62" i="4"/>
  <c r="D95" i="4" s="1"/>
  <c r="D62" i="4"/>
  <c r="C62" i="4"/>
  <c r="C48" i="4"/>
  <c r="E48" i="4" s="1"/>
  <c r="C43" i="4"/>
  <c r="F43" i="4" s="1"/>
  <c r="C42" i="4"/>
  <c r="F42" i="4" s="1"/>
  <c r="C33" i="4"/>
  <c r="C32" i="4"/>
  <c r="H6" i="4" s="1"/>
  <c r="C31" i="4"/>
  <c r="E31" i="4" s="1"/>
  <c r="C27" i="4"/>
  <c r="C20" i="4"/>
  <c r="B10" i="4"/>
  <c r="H9" i="4"/>
  <c r="F9" i="4"/>
  <c r="E8" i="4"/>
  <c r="D8" i="4"/>
  <c r="C8" i="4"/>
  <c r="E7" i="4"/>
  <c r="D7" i="4"/>
  <c r="C7" i="4"/>
  <c r="E6" i="4"/>
  <c r="D6" i="4"/>
  <c r="C6" i="4"/>
  <c r="E5" i="4"/>
  <c r="D5" i="4"/>
  <c r="C5" i="4"/>
  <c r="E4" i="4"/>
  <c r="E9" i="4" s="1"/>
  <c r="C13" i="4" s="1"/>
  <c r="D4" i="4"/>
  <c r="D9" i="4" s="1"/>
  <c r="C12" i="4" s="1"/>
  <c r="C14" i="4" s="1"/>
  <c r="C4" i="4"/>
  <c r="C9" i="4" s="1"/>
  <c r="B4" i="1"/>
  <c r="G11" i="3" l="1"/>
  <c r="G6" i="3"/>
  <c r="G7" i="3"/>
  <c r="G9" i="3"/>
  <c r="G8" i="3"/>
  <c r="G4" i="3"/>
  <c r="F44" i="4"/>
  <c r="D13" i="5" s="1"/>
  <c r="G5" i="4"/>
  <c r="G8" i="4"/>
  <c r="G4" i="4"/>
  <c r="G9" i="4" s="1"/>
  <c r="D8" i="5" s="1"/>
  <c r="G7" i="4"/>
  <c r="E32" i="4"/>
  <c r="E34" i="4" s="1"/>
  <c r="D7" i="5" s="1"/>
  <c r="E35" i="4" s="1"/>
  <c r="E50" i="4"/>
  <c r="E95" i="4"/>
  <c r="G95" i="4"/>
  <c r="E110" i="4"/>
  <c r="E112" i="4" s="1"/>
  <c r="E117" i="4" s="1"/>
  <c r="G117" i="4" s="1"/>
  <c r="D96" i="4"/>
  <c r="C44" i="4"/>
  <c r="F95" i="4"/>
  <c r="B103" i="3"/>
  <c r="C118" i="3"/>
  <c r="E118" i="3" s="1"/>
  <c r="G145" i="3" l="1"/>
  <c r="C120" i="3"/>
  <c r="E119" i="3" s="1"/>
  <c r="E121" i="3" s="1"/>
  <c r="E57" i="3"/>
  <c r="D11" i="5"/>
  <c r="D12" i="5" s="1"/>
  <c r="D20" i="5"/>
  <c r="E116" i="4"/>
  <c r="K145" i="3" l="1"/>
  <c r="J145" i="3"/>
  <c r="G146" i="3"/>
  <c r="H146" i="3" s="1"/>
  <c r="G144" i="3"/>
  <c r="H144" i="3" s="1"/>
  <c r="G116" i="4"/>
  <c r="D19" i="5"/>
  <c r="F12" i="3"/>
  <c r="B8" i="1" s="1"/>
  <c r="C112" i="3"/>
  <c r="F70" i="3"/>
  <c r="F102" i="3"/>
  <c r="G102" i="3"/>
  <c r="E70" i="3"/>
  <c r="D102" i="3"/>
  <c r="E102" i="3"/>
  <c r="C102" i="3"/>
  <c r="J144" i="3" l="1"/>
  <c r="J148" i="3" s="1"/>
  <c r="D20" i="1" s="1"/>
  <c r="K144" i="3"/>
  <c r="K148" i="3" s="1"/>
  <c r="D22" i="1" s="1"/>
  <c r="H148" i="3"/>
  <c r="D21" i="1" s="1"/>
  <c r="G148" i="3"/>
  <c r="J146" i="3"/>
  <c r="B15" i="1"/>
  <c r="B15" i="5"/>
  <c r="C104" i="3"/>
  <c r="G103" i="3"/>
  <c r="F103" i="3"/>
  <c r="E103" i="3"/>
  <c r="D103" i="3"/>
  <c r="D70" i="3"/>
  <c r="C75" i="3" l="1"/>
  <c r="D17" i="1" s="1"/>
  <c r="B17" i="1"/>
  <c r="B25" i="1" s="1"/>
  <c r="B17" i="5"/>
  <c r="C17" i="1"/>
  <c r="C25" i="1" s="1"/>
  <c r="C17" i="5"/>
  <c r="B16" i="1"/>
  <c r="B24" i="1" s="1"/>
  <c r="B16" i="5"/>
  <c r="D16" i="5" s="1"/>
  <c r="D104" i="3"/>
  <c r="C56" i="3"/>
  <c r="E56" i="3" s="1"/>
  <c r="C51" i="3"/>
  <c r="F51" i="3" s="1"/>
  <c r="C50" i="3"/>
  <c r="F50" i="3" s="1"/>
  <c r="C34" i="3"/>
  <c r="E34" i="3" s="1"/>
  <c r="B13" i="3"/>
  <c r="E10" i="3"/>
  <c r="D5" i="3"/>
  <c r="C10" i="3"/>
  <c r="C5" i="3"/>
  <c r="C4" i="3"/>
  <c r="C30" i="3"/>
  <c r="C23" i="3"/>
  <c r="D6" i="3" l="1"/>
  <c r="D8" i="3" s="1"/>
  <c r="D9" i="3" s="1"/>
  <c r="D12" i="3"/>
  <c r="C15" i="3" s="1"/>
  <c r="D16" i="1"/>
  <c r="B7" i="1"/>
  <c r="B7" i="5"/>
  <c r="G5" i="3"/>
  <c r="H10" i="3"/>
  <c r="H12" i="3" s="1"/>
  <c r="C16" i="1"/>
  <c r="C24" i="1" s="1"/>
  <c r="C16" i="5"/>
  <c r="E35" i="3"/>
  <c r="E40" i="3" s="1"/>
  <c r="E45" i="3" s="1"/>
  <c r="E12" i="3"/>
  <c r="C16" i="3" s="1"/>
  <c r="F52" i="3"/>
  <c r="D13" i="1" s="1"/>
  <c r="E58" i="3"/>
  <c r="C52" i="3"/>
  <c r="C12" i="3"/>
  <c r="D15" i="1"/>
  <c r="G128" i="3" l="1"/>
  <c r="G129" i="3" s="1"/>
  <c r="D12" i="1" s="1"/>
  <c r="F127" i="3"/>
  <c r="G127" i="3" s="1"/>
  <c r="F126" i="3"/>
  <c r="G126" i="3" s="1"/>
  <c r="F128" i="3"/>
  <c r="F129" i="3" s="1"/>
  <c r="D11" i="1" s="1"/>
  <c r="C17" i="3"/>
  <c r="D7" i="1" s="1"/>
  <c r="G12" i="3"/>
  <c r="D8" i="1" s="1"/>
  <c r="D9" i="5"/>
  <c r="D10" i="5"/>
  <c r="D9" i="1"/>
  <c r="D10" i="1"/>
  <c r="E51" i="4" l="1"/>
  <c r="E59" i="3"/>
  <c r="E4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Вибір марки ПВХ-мембрани</t>
        </r>
      </text>
    </comment>
    <comment ref="C10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Вибір марки теплоізоляції</t>
        </r>
      </text>
    </comment>
    <comment ref="C13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Вибір способа кріплення ПВХ-мембрани до основи: за допомогою кріпильних елементів або баластного шару (щебня, плитки)</t>
        </r>
      </text>
    </comment>
    <comment ref="C16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Вибір типа основи по якому беде виконуваться монтаж ПВХ-мембрани</t>
        </r>
      </text>
    </comment>
    <comment ref="C19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Вибір товщини теплоізоляції</t>
        </r>
      </text>
    </comment>
    <comment ref="C2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Наявність розділювального шару</t>
        </r>
      </text>
    </comment>
    <comment ref="C25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 xml:space="preserve">Вибір захисного шару (1 або 2) </t>
        </r>
      </text>
    </comment>
    <comment ref="C34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Розрахунок дренажної мембрані Ізоліт та геотекстиля Typar SF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37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Площа для монтажу</t>
        </r>
      </text>
    </comment>
    <comment ref="E44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Заносим висоту заведення ПВХ-мембрани на парапет та примикання</t>
        </r>
      </text>
    </comment>
    <comment ref="E49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>Заносим місця де потрібно використовувати ПВХ планку для примикання та герметик
(крапельник рахуємо окремо!!!)</t>
        </r>
      </text>
    </comment>
  </commentList>
</comments>
</file>

<file path=xl/sharedStrings.xml><?xml version="1.0" encoding="utf-8"?>
<sst xmlns="http://schemas.openxmlformats.org/spreadsheetml/2006/main" count="390" uniqueCount="216">
  <si>
    <t>Площадь кровли</t>
  </si>
  <si>
    <t>Периметр кровли</t>
  </si>
  <si>
    <t>Высота заведения мембраны на парапет</t>
  </si>
  <si>
    <t>Длина карниза (при наружном водоотводе)</t>
  </si>
  <si>
    <t>м</t>
  </si>
  <si>
    <t>Механический</t>
  </si>
  <si>
    <t>Балластный</t>
  </si>
  <si>
    <t>Площадь рулона</t>
  </si>
  <si>
    <t>Полезная площадь при механическом креплении</t>
  </si>
  <si>
    <t>Полезная площадь при балластном креплении</t>
  </si>
  <si>
    <t>нет</t>
  </si>
  <si>
    <t>1 слой</t>
  </si>
  <si>
    <t>Разделительный слой</t>
  </si>
  <si>
    <t>Защитный слой</t>
  </si>
  <si>
    <t>2 слоя</t>
  </si>
  <si>
    <r>
      <t>м</t>
    </r>
    <r>
      <rPr>
        <i/>
        <sz val="12"/>
        <color theme="1"/>
        <rFont val="Calibri"/>
        <family val="2"/>
        <charset val="204"/>
      </rPr>
      <t>²</t>
    </r>
  </si>
  <si>
    <t>Количество</t>
  </si>
  <si>
    <t>Единицы измерения</t>
  </si>
  <si>
    <t>м²</t>
  </si>
  <si>
    <t>Лист оцинкованный, ламинированный гомогенной мембраной (1.0×2.0м)</t>
  </si>
  <si>
    <t>кг</t>
  </si>
  <si>
    <t>Общее количество материалов на плоскую кровлю</t>
  </si>
  <si>
    <t>Наименование</t>
  </si>
  <si>
    <t>Нетканый иглопробивной геотекстиль Tipptex BS 25 (5×100м)</t>
  </si>
  <si>
    <t>Нетканый иглопробивной геотекстиль Tipptex BS 16 (5×100м)</t>
  </si>
  <si>
    <t>шт.</t>
  </si>
  <si>
    <t>Результат!</t>
  </si>
  <si>
    <t>Длина примыканий (учитывается планка примыканий)</t>
  </si>
  <si>
    <t>Длина парапета с учетом длинны заведения на короба и зенитные фонари</t>
  </si>
  <si>
    <t>Ruvimat E12 (2,0x20м)</t>
  </si>
  <si>
    <t>Ruvimat E15 (2,0x20м)</t>
  </si>
  <si>
    <t>Материал</t>
  </si>
  <si>
    <t>Расчет количества мембраны</t>
  </si>
  <si>
    <t>Единицы</t>
  </si>
  <si>
    <t>м.кв.</t>
  </si>
  <si>
    <t>Всего</t>
  </si>
  <si>
    <t>Расчет планки примыкания</t>
  </si>
  <si>
    <t>Ширина планки</t>
  </si>
  <si>
    <t>Общая длина примыканий</t>
  </si>
  <si>
    <t>Расчет пароизоляции</t>
  </si>
  <si>
    <t>Коэффициент запаса</t>
  </si>
  <si>
    <t>Расчет креплений мембраны</t>
  </si>
  <si>
    <t>Саморез WB для крепления изоляции к металлу</t>
  </si>
  <si>
    <t>Телескопический держатель LDK</t>
  </si>
  <si>
    <t>Тарелка дожимная для крепления изоляционных материалов</t>
  </si>
  <si>
    <t>Выбор типа основания</t>
  </si>
  <si>
    <t>Минеральная вата по профлисту</t>
  </si>
  <si>
    <t>Минеральная вата по бетонному основанию</t>
  </si>
  <si>
    <t>Экструдированный пенополистирол по профлисту</t>
  </si>
  <si>
    <t>Экструдированный пенополистирол по бетонному основанию</t>
  </si>
  <si>
    <t>Бетон</t>
  </si>
  <si>
    <t>Сплошной настил из плит OSB</t>
  </si>
  <si>
    <t>Винт</t>
  </si>
  <si>
    <t>Держатель</t>
  </si>
  <si>
    <t>Количество крепежей</t>
  </si>
  <si>
    <t>Механический способ крепления</t>
  </si>
  <si>
    <t>Неармированная ПВХ-мембрана для устройства примыканий VINITEX SA 1.2 (2,1x20м)</t>
  </si>
  <si>
    <t>Воронка внутреннего водоотвода</t>
  </si>
  <si>
    <t>Саморез WB для крепления изоляции к бетону</t>
  </si>
  <si>
    <t>Толщина теплоизоляции</t>
  </si>
  <si>
    <t>Подбор длинны крепежного элемента и держателя</t>
  </si>
  <si>
    <t>Телескопический держатель LDK длиной, мм</t>
  </si>
  <si>
    <t>Саморез WB для крепления изоляции к бетону длиной 60 мм</t>
  </si>
  <si>
    <t>Vinitex MP 1.2 (2,1x25м)</t>
  </si>
  <si>
    <t>Vinitex MP 1.5 (2,1x20м)</t>
  </si>
  <si>
    <t>Vinitex SL 1.5 (2,1x25м)</t>
  </si>
  <si>
    <t>Двусторонняя клеящая лента Lipex (K2)</t>
  </si>
  <si>
    <t>Герметик</t>
  </si>
  <si>
    <t>Полиэтиленовая армированная пленка "ПАРОБАРЬЕР" (1.5×50м)</t>
  </si>
  <si>
    <t>Саморез WB для крепления изоляции к бетону длиной</t>
  </si>
  <si>
    <t>Саморез WB для крепления изоляции к металлу длиной</t>
  </si>
  <si>
    <t>Теплоизоляция из каменной ваты Monrock max</t>
  </si>
  <si>
    <t>Теплоизоляция из каменной ваты Dachrock max</t>
  </si>
  <si>
    <t>Теплоизоляция из экструдированного пенополистирола Europlex Ultra</t>
  </si>
  <si>
    <t>Примыкания</t>
  </si>
  <si>
    <t>количество, м.кв</t>
  </si>
  <si>
    <t>Дренажная геомембрана Изолит (2х20 м)</t>
  </si>
  <si>
    <t>Нетканый термически скрепленный геотекстиль TyparSF</t>
  </si>
  <si>
    <t>Полезная площадь рулона</t>
  </si>
  <si>
    <t>Расчет количества гемембраны</t>
  </si>
  <si>
    <t>Высота заведения геомембраны</t>
  </si>
  <si>
    <t>*в расчете учтены нахлесты всех материалов</t>
  </si>
  <si>
    <t>Саморез по дереву</t>
  </si>
  <si>
    <t>Теплоизоляция из каменной ваты Rockmin</t>
  </si>
  <si>
    <t>Всего c запасом</t>
  </si>
  <si>
    <t>Норма ГЭСН для парапета высотой 0,6 м</t>
  </si>
  <si>
    <t>Добавлять или вычитать из нормы при изменеии высоты на 0,1 м</t>
  </si>
  <si>
    <t>Неармированная ПВХ-мембрана для устройства примыканий Vinitex SA 1.5 (2,1x20м)</t>
  </si>
  <si>
    <t>Armourplan SM 1.5 (2,12x20м)</t>
  </si>
  <si>
    <t>Неармированная ПВХ-мембрана для устройства примыканий Armourplan D 1.5 (1,06x20м)</t>
  </si>
  <si>
    <t xml:space="preserve">Покрівельна армована ПВХ-мембрана Soprema Flagon® SR 1,5 мм (2.10х20 м) </t>
  </si>
  <si>
    <t xml:space="preserve">Покрівельна армована ПВХ-мембрана Soprema Flagon® SR 1,2 мм (2.10х25 м) </t>
  </si>
  <si>
    <t xml:space="preserve">Покрівельна армована ПВХ-мембрана Soprema Flagon® SR 1,8 мм (2.10х20 м) </t>
  </si>
  <si>
    <t xml:space="preserve">Покрівельна армована ПВХ-мембрана Soprema Flagon® SV 1,2 мм (2.10х25 м) </t>
  </si>
  <si>
    <t xml:space="preserve">Покрівельна армована ПВХ-мембрана Soprema Flagon® SV 1,5 мм (2.10х20 м) </t>
  </si>
  <si>
    <t xml:space="preserve">Покрівельна армована ПВХ-мембрана Soprema Flagon® SV 1,8 мм (2.10х20 м) </t>
  </si>
  <si>
    <t xml:space="preserve">Покрівельна не армована ПВХ-мембрана Soprema Flagon® BSL 1,2 мм (2.10х25 м) </t>
  </si>
  <si>
    <t>Механічний</t>
  </si>
  <si>
    <t>Матеріал</t>
  </si>
  <si>
    <t>Площа рулона</t>
  </si>
  <si>
    <t>Корисна площадь при мех. кріплені</t>
  </si>
  <si>
    <t>Корисна площадь при баластном кріплені</t>
  </si>
  <si>
    <t>Примикання</t>
  </si>
  <si>
    <t>Кількість, м.кв</t>
  </si>
  <si>
    <t>Розділовий шар</t>
  </si>
  <si>
    <t>ні</t>
  </si>
  <si>
    <t>1 шар</t>
  </si>
  <si>
    <t>Захисний шар</t>
  </si>
  <si>
    <t>2 шари</t>
  </si>
  <si>
    <t>Баластний</t>
  </si>
  <si>
    <t>Площа покрівлі</t>
  </si>
  <si>
    <t>Довжина парапету з урахуванням заведення на занітні фонарі</t>
  </si>
  <si>
    <t>Висота заведення мембрани на парапет</t>
  </si>
  <si>
    <t>Кількість</t>
  </si>
  <si>
    <t>Розрахунок кількості мембрани</t>
  </si>
  <si>
    <t>Одиниці</t>
  </si>
  <si>
    <t>Всього</t>
  </si>
  <si>
    <t>Коефіціент запаса</t>
  </si>
  <si>
    <t>Розрахунок планки примикання</t>
  </si>
  <si>
    <t>Довжина примикання (враховується планка примикання)</t>
  </si>
  <si>
    <t>Довжина капельника (при зовнішньому водовідведенню)</t>
  </si>
  <si>
    <t>Загальна довжина примикань</t>
  </si>
  <si>
    <t>Розрахунок пароізоляції</t>
  </si>
  <si>
    <t>Периметр покрівлі</t>
  </si>
  <si>
    <t>Розрахунок кріплення мембрани</t>
  </si>
  <si>
    <t>Вибір типа основи</t>
  </si>
  <si>
    <t>Кріплення</t>
  </si>
  <si>
    <t>Мінеральна вата по проф настилу</t>
  </si>
  <si>
    <t>Мінеральна вата по бетонній основі</t>
  </si>
  <si>
    <t>Суцільний настил із плит OSB</t>
  </si>
  <si>
    <t>Саморіз по дереву</t>
  </si>
  <si>
    <t>Телескопічний дюбель LDK довжиною, мм</t>
  </si>
  <si>
    <t>Кількість кріплень</t>
  </si>
  <si>
    <t>Механічний спосіб кріплення</t>
  </si>
  <si>
    <t>Товщина теплоізоляції</t>
  </si>
  <si>
    <t>Телескопічний дюбель LDK</t>
  </si>
  <si>
    <t>Саморіз WB для кріплення ізоляції до металу</t>
  </si>
  <si>
    <t>Саморіз WB для кріплення ізоляції до бетону</t>
  </si>
  <si>
    <t>Саморіз WB для креплення ізоляції до металу</t>
  </si>
  <si>
    <t>Теплоізоляція із кам'янної вати Monrock max E</t>
  </si>
  <si>
    <t>Теплоізоляція із кам'янної вати Monrock max E+Roofrock 30 E</t>
  </si>
  <si>
    <t>Теплоізоляція із кам'янної вати Rockmin</t>
  </si>
  <si>
    <t xml:space="preserve">Теплоізоляція із екструдованого пінополістирола </t>
  </si>
  <si>
    <t>Розрахунок кількості геомембрани</t>
  </si>
  <si>
    <t>Висота заведення геомембрани</t>
  </si>
  <si>
    <t>Шиповидна геомембрана Ізоліт® PROFI 0.6 мм 30 т/м.кв. (2х20 м)</t>
  </si>
  <si>
    <t>Нетканий термічно скріплений геотекстиль DuPont Typar® SF 40 (5.2х150 м)</t>
  </si>
  <si>
    <t xml:space="preserve">Покрівельна неармована ПВХ-мембрана Soprema Flagon® S 1,5 мм (1.05х20 м) </t>
  </si>
  <si>
    <t>Нетканий термічно зміцнений геотекстиль Tipptex® BS 25 (5х100 м)</t>
  </si>
  <si>
    <t>Нетканий термічно зміцнений геотекстиль Tipptex® BS 16 (5х100 м)</t>
  </si>
  <si>
    <t>Ламінований ПВХ-метал товщиною 1,2 мм (1х2 м)</t>
  </si>
  <si>
    <t>Морозостійкий УФ-стабілізований герметик Tenalux® 112М (600 мл)</t>
  </si>
  <si>
    <t>*в розрахунку враховані всі напуски</t>
  </si>
  <si>
    <t>Одиниці вимірювання</t>
  </si>
  <si>
    <t>Назва</t>
  </si>
  <si>
    <t>Загальна кількість матеріалів на покрівлю</t>
  </si>
  <si>
    <t>Кріплення для теплоізоляції</t>
  </si>
  <si>
    <t>Тип ПВХ-мембрани</t>
  </si>
  <si>
    <t>Теплоізоляція</t>
  </si>
  <si>
    <t>Варіант кріплення ПВХ-мембрани до основи</t>
  </si>
  <si>
    <t>Основа</t>
  </si>
  <si>
    <r>
      <t>Розділюючий шар геотекстилю 200 г/м</t>
    </r>
    <r>
      <rPr>
        <i/>
        <sz val="12"/>
        <color theme="1"/>
        <rFont val="Calibri"/>
        <family val="2"/>
        <charset val="204"/>
      </rPr>
      <t>²</t>
    </r>
  </si>
  <si>
    <r>
      <t>Захисний шар геотекстилю 300 г/м</t>
    </r>
    <r>
      <rPr>
        <i/>
        <sz val="12"/>
        <color theme="1"/>
        <rFont val="Calibri"/>
        <family val="2"/>
        <charset val="204"/>
      </rPr>
      <t>²</t>
    </r>
  </si>
  <si>
    <t>Характеристики покрівлі</t>
  </si>
  <si>
    <t>Довжина парапету з урахуванням заведення на примикання</t>
  </si>
  <si>
    <t>Висота заведення на примикання</t>
  </si>
  <si>
    <t>Довжина кріплення ПВХ-планки та герметика</t>
  </si>
  <si>
    <t>*жовті поля для заповнення</t>
  </si>
  <si>
    <t>Дані для розрахунку</t>
  </si>
  <si>
    <t>Пароізоляційна покрівельна плівка "ПАРОБАРЬЕР Н110" (1.5х50 м)</t>
  </si>
  <si>
    <t>Двостороння клеюча стріка Lipex® K2</t>
  </si>
  <si>
    <t>Саморіз для кріплення ізоляції до бетону довжиною 60 мм</t>
  </si>
  <si>
    <t>Саморіз для кріплення ізоляції до бетону довжиною</t>
  </si>
  <si>
    <t>Саморіз для кріплення ізоляції до металу довжиною</t>
  </si>
  <si>
    <t>Тарілка дожимна для кріплення ізоляційних матеріалів</t>
  </si>
  <si>
    <t>Вибір пароізоляції</t>
  </si>
  <si>
    <t>Плівка пароізоляційна DB 200 4m x 25m</t>
  </si>
  <si>
    <t>робоча площа</t>
  </si>
  <si>
    <t>запас</t>
  </si>
  <si>
    <t>тип примикання</t>
  </si>
  <si>
    <t>витрата примикання</t>
  </si>
  <si>
    <t>витрата пароізоляції</t>
  </si>
  <si>
    <t>Довжина крапельника</t>
  </si>
  <si>
    <t>Бітумний праймер, кг(л)</t>
  </si>
  <si>
    <t>од.вим.</t>
  </si>
  <si>
    <t>м.п.</t>
  </si>
  <si>
    <t>Теплоізоляційна плита TermPIR</t>
  </si>
  <si>
    <t>XPS чи TermPIR по проф настилу</t>
  </si>
  <si>
    <t>XPS чи TermPIR по бетонній основі</t>
  </si>
  <si>
    <t>Виберіть тип воронки</t>
  </si>
  <si>
    <t>Вибір воронки</t>
  </si>
  <si>
    <t>Парапетна воронка з поліуретану SitaEasy з ПВХ-фартухом (діаметр 110 мм)</t>
  </si>
  <si>
    <t xml:space="preserve">Покрівельна воронка утеплена (вертикальна) SitaTrendy DN 100 з ПВХ-фартухом та системою обігріву </t>
  </si>
  <si>
    <t>Кутова(горизонтальна) покрівельна воронка з поліуретану SitaTrendy з ПВХ-фартухом та системою обігріву (діаметр 110 мм)</t>
  </si>
  <si>
    <t>для воронки</t>
  </si>
  <si>
    <t>100 для бетонної основи 50 для профнастилу</t>
  </si>
  <si>
    <t>Флюгарка</t>
  </si>
  <si>
    <t>Флюгарка ПВХ Flagon діаметром 75 мм</t>
  </si>
  <si>
    <t>Виберіть тип пароізоляції</t>
  </si>
  <si>
    <t>Виберіть дренажний геокомпозит</t>
  </si>
  <si>
    <t>Тип дрен композиту</t>
  </si>
  <si>
    <t>не потрібен</t>
  </si>
  <si>
    <t>Ізолит Profi 2х20м+Typar SF40</t>
  </si>
  <si>
    <t>Ізолит Green 2,5х1,2м+Typar SF40</t>
  </si>
  <si>
    <t>Ізолит Geo 10  2х12,5м</t>
  </si>
  <si>
    <t>Шиповидна геомембрана Ізоліт® Green 0.9 мм 24 т/м.кв. (2,5х1,2 м)</t>
  </si>
  <si>
    <t>Шиповидна геомембрана Ізоліт® Geo10 0.9 мм 42 т/м.кв. (2х12,5 м)</t>
  </si>
  <si>
    <t xml:space="preserve"> -</t>
  </si>
  <si>
    <t>площа</t>
  </si>
  <si>
    <t>запас изолит</t>
  </si>
  <si>
    <t>запас тайпар</t>
  </si>
  <si>
    <t>Стрічка Lipex® K2 для проклейки шиповидної геомембрани в 2 рази (при потребі)</t>
  </si>
  <si>
    <t>площа ізоліт</t>
  </si>
  <si>
    <t>площа тайпар</t>
  </si>
  <si>
    <t>погонаж К2</t>
  </si>
  <si>
    <t>Пароізоляція: полімер-бітумна мембрана SOPREMA MORTERPLAS SBS FM 3 1м x 13м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</si>
</sst>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color theme="1"/>
      <name val="Calibri"/>
      <family val="2"/>
      <charset val="204"/>
    </font>
    <font>
      <b/>
      <i/>
      <sz val="14"/>
      <color theme="1"/>
      <name val="Times New Roman"/>
      <family val="1"/>
      <charset val="204"/>
    </font>
    <font>
      <u/>
      <sz val="9.35"/>
      <color theme="10"/>
      <name val="Calibri"/>
      <family val="2"/>
      <charset val="204"/>
    </font>
    <font>
      <i/>
      <u/>
      <sz val="14"/>
      <color theme="10"/>
      <name val="Times New Roman"/>
      <family val="1"/>
      <charset val="204"/>
    </font>
    <font>
      <i/>
      <sz val="12"/>
      <color theme="1"/>
      <name val="ISOCPEUR"/>
      <family val="2"/>
      <charset val="204"/>
    </font>
    <font>
      <b/>
      <i/>
      <sz val="12"/>
      <color theme="1"/>
      <name val="ISOCPEUR"/>
      <family val="2"/>
      <charset val="204"/>
    </font>
    <font>
      <b/>
      <sz val="9"/>
      <color indexed="81"/>
      <name val="Tahoma"/>
      <family val="2"/>
      <charset val="204"/>
    </font>
    <font>
      <b/>
      <sz val="12"/>
      <color theme="1"/>
      <name val="Times New Roman"/>
      <family val="1"/>
      <charset val="204"/>
    </font>
    <font>
      <i/>
      <sz val="12"/>
      <color rgb="FFFF0000"/>
      <name val="ISOCPEUR"/>
      <family val="2"/>
      <charset val="204"/>
    </font>
    <font>
      <sz val="9"/>
      <color indexed="81"/>
      <name val="Tahoma"/>
      <family val="2"/>
      <charset val="204"/>
    </font>
    <font>
      <sz val="12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7" fillId="7" borderId="0" xfId="1" applyFont="1" applyFill="1" applyAlignment="1" applyProtection="1">
      <alignment horizontal="center" vertical="center" wrapText="1"/>
    </xf>
    <xf numFmtId="2" fontId="1" fillId="4" borderId="0" xfId="0" applyNumberFormat="1" applyFont="1" applyFill="1" applyAlignment="1">
      <alignment horizontal="center" vertical="center" wrapText="1"/>
    </xf>
    <xf numFmtId="2" fontId="1" fillId="8" borderId="0" xfId="0" applyNumberFormat="1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2" fontId="1" fillId="9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4" fontId="8" fillId="0" borderId="0" xfId="0" applyNumberFormat="1" applyFont="1" applyAlignment="1">
      <alignment horizontal="left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2" fontId="11" fillId="4" borderId="0" xfId="0" applyNumberFormat="1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2" fontId="1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" fontId="8" fillId="0" borderId="14" xfId="0" applyNumberFormat="1" applyFont="1" applyBorder="1" applyAlignment="1">
      <alignment horizontal="left" vertical="center" wrapText="1"/>
    </xf>
    <xf numFmtId="1" fontId="8" fillId="0" borderId="13" xfId="0" applyNumberFormat="1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9" defaultPivotStyle="PivotStyleLight16"/>
  <colors>
    <mruColors>
      <color rgb="FF008000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15" fmlaLink="Программа!$B$12" fmlaRange="Программа!$B$4:$B$11" noThreeD="1" sel="1" val="0"/>
</file>

<file path=xl/ctrlProps/ctrlProp2.xml><?xml version="1.0" encoding="utf-8"?>
<formControlPr xmlns="http://schemas.microsoft.com/office/spreadsheetml/2009/9/main" objectType="Drop" dropStyle="combo" dx="15" fmlaLink="Программа!$B$17" fmlaRange="Программа!$B$15:$B$16" noThreeD="1" sel="1" val="0"/>
</file>

<file path=xl/ctrlProps/ctrlProp3.xml><?xml version="1.0" encoding="utf-8"?>
<formControlPr xmlns="http://schemas.microsoft.com/office/spreadsheetml/2009/9/main" objectType="Drop" dropStyle="combo" dx="15" fmlaLink="Программа!$B$23" fmlaRange="Программа!$B$21:$B$22" noThreeD="1" sel="1" val="0"/>
</file>

<file path=xl/ctrlProps/ctrlProp4.xml><?xml version="1.0" encoding="utf-8"?>
<formControlPr xmlns="http://schemas.microsoft.com/office/spreadsheetml/2009/9/main" objectType="Drop" dropStyle="combo" dx="15" fmlaLink="Программа!$B$30" fmlaRange="Программа!$B$27:$B$29" noThreeD="1" sel="2" val="0"/>
</file>

<file path=xl/ctrlProps/ctrlProp5.xml><?xml version="1.0" encoding="utf-8"?>
<formControlPr xmlns="http://schemas.microsoft.com/office/spreadsheetml/2009/9/main" objectType="Drop" dropStyle="combo" dx="15" fmlaLink="Программа!$B$70" fmlaRange="Программа!$B$64:$B$69" noThreeD="1" sel="1" val="0"/>
</file>

<file path=xl/ctrlProps/ctrlProp6.xml><?xml version="1.0" encoding="utf-8"?>
<formControlPr xmlns="http://schemas.microsoft.com/office/spreadsheetml/2009/9/main" objectType="Drop" dropStyle="combo" dx="15" fmlaLink="Программа!$B$102" fmlaRange="Программа!$B$79:$B$101" noThreeD="1" sel="12" val="11"/>
</file>

<file path=xl/ctrlProps/ctrlProp7.xml><?xml version="1.0" encoding="utf-8"?>
<formControlPr xmlns="http://schemas.microsoft.com/office/spreadsheetml/2009/9/main" objectType="Drop" dropStyle="combo" dx="15" fmlaLink="Программа!$B$112" fmlaRange="Программа!$B$107:$B$111" noThreeD="1" sel="4" val="0"/>
</file>

<file path=xl/ctrlProps/ctrlProp8.xml><?xml version="1.0" encoding="utf-8"?>
<formControlPr xmlns="http://schemas.microsoft.com/office/spreadsheetml/2009/9/main" objectType="Drop" dropStyle="combo" dx="20" fmlaLink="Программа!$B$129" fmlaRange="Программа!$B$126:$B$128" noThreeD="1" sel="3" val="0"/>
</file>

<file path=xl/ctrlProps/ctrlProp9.xml><?xml version="1.0" encoding="utf-8"?>
<formControlPr xmlns="http://schemas.microsoft.com/office/spreadsheetml/2009/9/main" objectType="Drop" dropStyle="combo" dx="20" fmlaLink="Программа!$B$136" fmlaRange="Программа!$B$133:$B$135" noThreeD="1" sel="1" val="0"/>
</file>

<file path=xl/ctrlProps/ctrlProp10.xml><?xml version="1.0" encoding="utf-8"?>
<formControlPr xmlns="http://schemas.microsoft.com/office/spreadsheetml/2009/9/main" objectType="Drop" dropStyle="combo" dx="20" fmlaLink="Программа!$B$148" fmlaRange="Программа!$B$144:$B$147" noThreeD="1" sel="4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19049</xdr:colOff>
      <xdr:row>36</xdr:row>
      <xdr:rowOff>28576</xdr:rowOff>
    </xdr:from>
    <xdr:to>
      <xdr:col>3</xdr:col>
      <xdr:colOff>2619374</xdr:colOff>
      <xdr:row>36</xdr:row>
      <xdr:rowOff>1419225</xdr:rowOff>
    </xdr:to>
    <xdr:pic>
      <xdr:nvPicPr>
        <xdr:cNvPr id="9" name="Рисунок 8" descr="Пром здание_ПВХ Model (1)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0782" t="4030" r="10362" b="2990"/>
        <a:stretch>
          <a:fillRect/>
        </a:stretch>
      </xdr:blipFill>
      <xdr:spPr>
        <a:xfrm>
          <a:off x="4876799" y="3486151"/>
          <a:ext cx="2600325" cy="1390649"/>
        </a:xfrm>
        <a:prstGeom prst="rect">
          <a:avLst/>
        </a:prstGeom>
      </xdr:spPr>
    </xdr:pic>
    <xdr:clientData/>
  </xdr:twoCellAnchor>
  <xdr:twoCellAnchor editAs="oneCell">
    <xdr:from>
      <xdr:col>3</xdr:col>
      <xdr:colOff>66674</xdr:colOff>
      <xdr:row>37</xdr:row>
      <xdr:rowOff>20594</xdr:rowOff>
    </xdr:from>
    <xdr:to>
      <xdr:col>3</xdr:col>
      <xdr:colOff>2628899</xdr:colOff>
      <xdr:row>37</xdr:row>
      <xdr:rowOff>1400176</xdr:rowOff>
    </xdr:to>
    <xdr:pic>
      <xdr:nvPicPr>
        <xdr:cNvPr id="15" name="Рисунок 14" descr="Пром здание_ПВХ Model (2)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8759" r="9124"/>
        <a:stretch>
          <a:fillRect/>
        </a:stretch>
      </xdr:blipFill>
      <xdr:spPr>
        <a:xfrm>
          <a:off x="4924424" y="4906919"/>
          <a:ext cx="2562225" cy="1379582"/>
        </a:xfrm>
        <a:prstGeom prst="rect">
          <a:avLst/>
        </a:prstGeom>
      </xdr:spPr>
    </xdr:pic>
    <xdr:clientData/>
  </xdr:twoCellAnchor>
  <xdr:twoCellAnchor editAs="oneCell">
    <xdr:from>
      <xdr:col>3</xdr:col>
      <xdr:colOff>28659</xdr:colOff>
      <xdr:row>44</xdr:row>
      <xdr:rowOff>127</xdr:rowOff>
    </xdr:from>
    <xdr:to>
      <xdr:col>3</xdr:col>
      <xdr:colOff>2629397</xdr:colOff>
      <xdr:row>48</xdr:row>
      <xdr:rowOff>226280</xdr:rowOff>
    </xdr:to>
    <xdr:pic>
      <xdr:nvPicPr>
        <xdr:cNvPr id="17" name="Рисунок 16" descr="Пром здание_ПВХ Model (4)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9780" t="4138" r="10814" b="2056"/>
        <a:stretch>
          <a:fillRect/>
        </a:stretch>
      </xdr:blipFill>
      <xdr:spPr>
        <a:xfrm>
          <a:off x="4524459" y="9982327"/>
          <a:ext cx="2600738" cy="1353913"/>
        </a:xfrm>
        <a:prstGeom prst="rect">
          <a:avLst/>
        </a:prstGeom>
      </xdr:spPr>
    </xdr:pic>
    <xdr:clientData/>
  </xdr:twoCellAnchor>
  <xdr:twoCellAnchor editAs="oneCell">
    <xdr:from>
      <xdr:col>3</xdr:col>
      <xdr:colOff>41415</xdr:colOff>
      <xdr:row>48</xdr:row>
      <xdr:rowOff>24850</xdr:rowOff>
    </xdr:from>
    <xdr:to>
      <xdr:col>3</xdr:col>
      <xdr:colOff>2642154</xdr:colOff>
      <xdr:row>48</xdr:row>
      <xdr:rowOff>1408044</xdr:rowOff>
    </xdr:to>
    <xdr:pic>
      <xdr:nvPicPr>
        <xdr:cNvPr id="18" name="Рисунок 17" descr="Пром здание_ПВХ Model (5)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9225" t="2559" r="9205" b="2167"/>
        <a:stretch>
          <a:fillRect/>
        </a:stretch>
      </xdr:blipFill>
      <xdr:spPr>
        <a:xfrm>
          <a:off x="4903306" y="9193698"/>
          <a:ext cx="2600739" cy="1383194"/>
        </a:xfrm>
        <a:prstGeom prst="rect">
          <a:avLst/>
        </a:prstGeom>
      </xdr:spPr>
    </xdr:pic>
    <xdr:clientData/>
  </xdr:twoCellAnchor>
  <xdr:twoCellAnchor editAs="oneCell">
    <xdr:from>
      <xdr:col>3</xdr:col>
      <xdr:colOff>16567</xdr:colOff>
      <xdr:row>49</xdr:row>
      <xdr:rowOff>40049</xdr:rowOff>
    </xdr:from>
    <xdr:to>
      <xdr:col>3</xdr:col>
      <xdr:colOff>2625586</xdr:colOff>
      <xdr:row>49</xdr:row>
      <xdr:rowOff>1391479</xdr:rowOff>
    </xdr:to>
    <xdr:pic>
      <xdr:nvPicPr>
        <xdr:cNvPr id="19" name="Рисунок 18" descr="Пром здание_ПВХ Model (6)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10100" t="2871" r="10052" b="3510"/>
        <a:stretch>
          <a:fillRect/>
        </a:stretch>
      </xdr:blipFill>
      <xdr:spPr>
        <a:xfrm>
          <a:off x="4878458" y="10641788"/>
          <a:ext cx="2609019" cy="1351430"/>
        </a:xfrm>
        <a:prstGeom prst="rect">
          <a:avLst/>
        </a:prstGeom>
      </xdr:spPr>
    </xdr:pic>
    <xdr:clientData/>
  </xdr:twoCellAnchor>
  <xdr:twoCellAnchor editAs="oneCell">
    <xdr:from>
      <xdr:col>0</xdr:col>
      <xdr:colOff>582705</xdr:colOff>
      <xdr:row>0</xdr:row>
      <xdr:rowOff>201705</xdr:rowOff>
    </xdr:from>
    <xdr:to>
      <xdr:col>2</xdr:col>
      <xdr:colOff>788333</xdr:colOff>
      <xdr:row>2</xdr:row>
      <xdr:rowOff>219074</xdr:rowOff>
    </xdr:to>
    <xdr:pic>
      <xdr:nvPicPr>
        <xdr:cNvPr id="8" name="Picture 10" descr="C:\Documents and Settings\morgun\Мои документы\лого мизол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187823" y="201705"/>
          <a:ext cx="1158128" cy="4207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56702</xdr:colOff>
      <xdr:row>38</xdr:row>
      <xdr:rowOff>33842</xdr:rowOff>
    </xdr:from>
    <xdr:to>
      <xdr:col>3</xdr:col>
      <xdr:colOff>2657441</xdr:colOff>
      <xdr:row>42</xdr:row>
      <xdr:rowOff>274036</xdr:rowOff>
    </xdr:to>
    <xdr:pic>
      <xdr:nvPicPr>
        <xdr:cNvPr id="10" name="Рисунок 9" descr="Пром здание_ПВХ Model (5)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9225" t="2559" r="9205" b="2167"/>
        <a:stretch>
          <a:fillRect/>
        </a:stretch>
      </xdr:blipFill>
      <xdr:spPr>
        <a:xfrm>
          <a:off x="4428677" y="8339642"/>
          <a:ext cx="2600739" cy="138319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7620</xdr:rowOff>
        </xdr:from>
        <xdr:to>
          <xdr:col>2</xdr:col>
          <xdr:colOff>3413760</xdr:colOff>
          <xdr:row>7</xdr:row>
          <xdr:rowOff>7620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2</xdr:col>
          <xdr:colOff>3390900</xdr:colOff>
          <xdr:row>13</xdr:row>
          <xdr:rowOff>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22860</xdr:rowOff>
        </xdr:from>
        <xdr:to>
          <xdr:col>2</xdr:col>
          <xdr:colOff>3413760</xdr:colOff>
          <xdr:row>22</xdr:row>
          <xdr:rowOff>22860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24</xdr:row>
          <xdr:rowOff>22860</xdr:rowOff>
        </xdr:from>
        <xdr:to>
          <xdr:col>2</xdr:col>
          <xdr:colOff>3390900</xdr:colOff>
          <xdr:row>25</xdr:row>
          <xdr:rowOff>22860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15</xdr:row>
          <xdr:rowOff>7620</xdr:rowOff>
        </xdr:from>
        <xdr:to>
          <xdr:col>2</xdr:col>
          <xdr:colOff>3398520</xdr:colOff>
          <xdr:row>16</xdr:row>
          <xdr:rowOff>7620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18</xdr:row>
          <xdr:rowOff>7620</xdr:rowOff>
        </xdr:from>
        <xdr:to>
          <xdr:col>2</xdr:col>
          <xdr:colOff>3398520</xdr:colOff>
          <xdr:row>19</xdr:row>
          <xdr:rowOff>7620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7620</xdr:rowOff>
        </xdr:from>
        <xdr:to>
          <xdr:col>2</xdr:col>
          <xdr:colOff>3413760</xdr:colOff>
          <xdr:row>10</xdr:row>
          <xdr:rowOff>7620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27</xdr:row>
          <xdr:rowOff>7620</xdr:rowOff>
        </xdr:from>
        <xdr:to>
          <xdr:col>3</xdr:col>
          <xdr:colOff>7620</xdr:colOff>
          <xdr:row>28</xdr:row>
          <xdr:rowOff>38100</xdr:rowOff>
        </xdr:to>
        <xdr:sp macro="" textlink="">
          <xdr:nvSpPr>
            <xdr:cNvPr id="1047" name="Drop Dow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30</xdr:row>
          <xdr:rowOff>30480</xdr:rowOff>
        </xdr:from>
        <xdr:to>
          <xdr:col>2</xdr:col>
          <xdr:colOff>3505200</xdr:colOff>
          <xdr:row>31</xdr:row>
          <xdr:rowOff>38100</xdr:rowOff>
        </xdr:to>
        <xdr:sp macro="" textlink="">
          <xdr:nvSpPr>
            <xdr:cNvPr id="1048" name="Drop Dow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33</xdr:row>
          <xdr:rowOff>7620</xdr:rowOff>
        </xdr:from>
        <xdr:to>
          <xdr:col>2</xdr:col>
          <xdr:colOff>3489960</xdr:colOff>
          <xdr:row>34</xdr:row>
          <xdr:rowOff>15240</xdr:rowOff>
        </xdr:to>
        <xdr:sp macro="" textlink="">
          <xdr:nvSpPr>
            <xdr:cNvPr id="1049" name="Drop Dow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9525</xdr:rowOff>
    </xdr:from>
    <xdr:to>
      <xdr:col>1</xdr:col>
      <xdr:colOff>1133475</xdr:colOff>
      <xdr:row>2</xdr:row>
      <xdr:rowOff>19050</xdr:rowOff>
    </xdr:to>
    <xdr:pic>
      <xdr:nvPicPr>
        <xdr:cNvPr id="2" name="Picture 10" descr="C:\Documents and Settings\morgun\Мои документы\лого мизол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025" y="9525"/>
          <a:ext cx="116205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266700</xdr:colOff>
      <xdr:row>0</xdr:row>
      <xdr:rowOff>57150</xdr:rowOff>
    </xdr:from>
    <xdr:to>
      <xdr:col>4</xdr:col>
      <xdr:colOff>771525</xdr:colOff>
      <xdr:row>2</xdr:row>
      <xdr:rowOff>167500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210300" y="57150"/>
          <a:ext cx="504825" cy="529450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9525</xdr:rowOff>
    </xdr:from>
    <xdr:to>
      <xdr:col>1</xdr:col>
      <xdr:colOff>1133475</xdr:colOff>
      <xdr:row>2</xdr:row>
      <xdr:rowOff>19050</xdr:rowOff>
    </xdr:to>
    <xdr:pic>
      <xdr:nvPicPr>
        <xdr:cNvPr id="2" name="Picture 10" descr="C:\Documents and Settings\morgun\Мои документы\лого мизол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025" y="9525"/>
          <a:ext cx="116205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266700</xdr:colOff>
      <xdr:row>0</xdr:row>
      <xdr:rowOff>57150</xdr:rowOff>
    </xdr:from>
    <xdr:to>
      <xdr:col>4</xdr:col>
      <xdr:colOff>771525</xdr:colOff>
      <xdr:row>2</xdr:row>
      <xdr:rowOff>167500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00800" y="57150"/>
          <a:ext cx="504825" cy="529450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FFFF00"/>
  </sheetPr>
  <dimension ref="B3:F54"/>
  <sheetViews>
    <sheetView tabSelected="1" topLeftCell="B20" zoomScaleNormal="100" workbookViewId="0">
      <selection activeCell="D27" sqref="D27"/>
    </sheetView>
  </sheetViews>
  <sheetFormatPr defaultColWidth="9.109375" defaultRowHeight="15.6" x14ac:dyDescent="0.3"/>
  <cols>
    <col min="1" max="1" width="9.109375" style="1"/>
    <col min="2" max="2" width="5.109375" style="1" customWidth="1"/>
    <col min="3" max="3" width="51.33203125" style="1" customWidth="1"/>
    <col min="4" max="4" width="40.5546875" style="1" customWidth="1"/>
    <col min="5" max="5" width="10.44140625" style="1" bestFit="1" customWidth="1"/>
    <col min="6" max="10" width="9.109375" style="1"/>
    <col min="11" max="11" width="13.109375" style="1" bestFit="1" customWidth="1"/>
    <col min="12" max="16384" width="9.109375" style="1"/>
  </cols>
  <sheetData>
    <row r="3" spans="2:6" ht="18" x14ac:dyDescent="0.3">
      <c r="C3" s="46" t="s">
        <v>168</v>
      </c>
      <c r="D3" s="46"/>
      <c r="E3" s="46"/>
      <c r="F3" s="46"/>
    </row>
    <row r="5" spans="2:6" x14ac:dyDescent="0.3">
      <c r="B5" s="8"/>
      <c r="C5" s="9"/>
      <c r="D5" s="9"/>
      <c r="E5" s="9"/>
      <c r="F5" s="10"/>
    </row>
    <row r="6" spans="2:6" ht="16.2" x14ac:dyDescent="0.3">
      <c r="B6" s="15"/>
      <c r="C6" s="12" t="s">
        <v>157</v>
      </c>
      <c r="D6" s="12"/>
      <c r="F6" s="13"/>
    </row>
    <row r="7" spans="2:6" x14ac:dyDescent="0.3">
      <c r="B7" s="25">
        <v>1</v>
      </c>
      <c r="C7" s="14"/>
      <c r="F7" s="13"/>
    </row>
    <row r="8" spans="2:6" x14ac:dyDescent="0.3">
      <c r="B8" s="11"/>
      <c r="C8" s="14"/>
      <c r="F8" s="13"/>
    </row>
    <row r="9" spans="2:6" ht="16.2" x14ac:dyDescent="0.3">
      <c r="B9" s="11"/>
      <c r="C9" s="12" t="s">
        <v>158</v>
      </c>
      <c r="F9" s="13"/>
    </row>
    <row r="10" spans="2:6" x14ac:dyDescent="0.3">
      <c r="B10" s="25">
        <v>2</v>
      </c>
      <c r="C10" s="14"/>
      <c r="F10" s="13"/>
    </row>
    <row r="11" spans="2:6" x14ac:dyDescent="0.3">
      <c r="B11" s="11"/>
      <c r="C11" s="14"/>
      <c r="F11" s="13"/>
    </row>
    <row r="12" spans="2:6" ht="16.2" x14ac:dyDescent="0.3">
      <c r="B12" s="15"/>
      <c r="C12" s="12" t="s">
        <v>159</v>
      </c>
      <c r="F12" s="13"/>
    </row>
    <row r="13" spans="2:6" x14ac:dyDescent="0.3">
      <c r="B13" s="25">
        <v>3</v>
      </c>
      <c r="C13" s="14"/>
      <c r="F13" s="13"/>
    </row>
    <row r="14" spans="2:6" x14ac:dyDescent="0.3">
      <c r="B14" s="11"/>
      <c r="C14" s="14"/>
      <c r="F14" s="13"/>
    </row>
    <row r="15" spans="2:6" ht="16.2" x14ac:dyDescent="0.3">
      <c r="B15" s="11"/>
      <c r="C15" s="12" t="s">
        <v>160</v>
      </c>
      <c r="F15" s="13"/>
    </row>
    <row r="16" spans="2:6" x14ac:dyDescent="0.3">
      <c r="B16" s="25">
        <v>4</v>
      </c>
      <c r="C16" s="14"/>
      <c r="F16" s="13"/>
    </row>
    <row r="17" spans="2:6" x14ac:dyDescent="0.3">
      <c r="B17" s="11"/>
      <c r="C17" s="14"/>
      <c r="F17" s="13"/>
    </row>
    <row r="18" spans="2:6" ht="16.2" x14ac:dyDescent="0.3">
      <c r="B18" s="11"/>
      <c r="C18" s="12" t="s">
        <v>134</v>
      </c>
      <c r="F18" s="13"/>
    </row>
    <row r="19" spans="2:6" x14ac:dyDescent="0.3">
      <c r="B19" s="25">
        <v>5</v>
      </c>
      <c r="F19" s="13"/>
    </row>
    <row r="20" spans="2:6" x14ac:dyDescent="0.3">
      <c r="B20" s="11"/>
      <c r="C20" s="14"/>
      <c r="F20" s="13"/>
    </row>
    <row r="21" spans="2:6" ht="16.2" x14ac:dyDescent="0.3">
      <c r="B21" s="15"/>
      <c r="C21" s="12" t="s">
        <v>161</v>
      </c>
      <c r="F21" s="13"/>
    </row>
    <row r="22" spans="2:6" x14ac:dyDescent="0.3">
      <c r="B22" s="25">
        <v>6</v>
      </c>
      <c r="C22" s="14"/>
      <c r="F22" s="13"/>
    </row>
    <row r="23" spans="2:6" x14ac:dyDescent="0.3">
      <c r="B23" s="11"/>
      <c r="C23" s="14"/>
      <c r="F23" s="13"/>
    </row>
    <row r="24" spans="2:6" ht="16.2" x14ac:dyDescent="0.3">
      <c r="B24" s="15"/>
      <c r="C24" s="12" t="s">
        <v>162</v>
      </c>
      <c r="F24" s="13"/>
    </row>
    <row r="25" spans="2:6" x14ac:dyDescent="0.3">
      <c r="B25" s="25">
        <v>7</v>
      </c>
      <c r="C25" s="14"/>
      <c r="F25" s="13"/>
    </row>
    <row r="26" spans="2:6" x14ac:dyDescent="0.3">
      <c r="B26" s="11"/>
      <c r="C26" s="14"/>
      <c r="F26" s="13"/>
    </row>
    <row r="27" spans="2:6" ht="16.2" x14ac:dyDescent="0.3">
      <c r="B27" s="11"/>
      <c r="C27" s="12" t="s">
        <v>198</v>
      </c>
      <c r="F27" s="13"/>
    </row>
    <row r="28" spans="2:6" x14ac:dyDescent="0.3">
      <c r="B28" s="11">
        <v>8</v>
      </c>
      <c r="C28" s="14"/>
      <c r="F28" s="13"/>
    </row>
    <row r="29" spans="2:6" x14ac:dyDescent="0.3">
      <c r="B29" s="11"/>
      <c r="C29" s="14"/>
      <c r="F29" s="13"/>
    </row>
    <row r="30" spans="2:6" ht="16.2" x14ac:dyDescent="0.3">
      <c r="B30" s="11"/>
      <c r="C30" s="12" t="s">
        <v>189</v>
      </c>
      <c r="F30" s="13"/>
    </row>
    <row r="31" spans="2:6" x14ac:dyDescent="0.3">
      <c r="B31" s="11">
        <v>9</v>
      </c>
      <c r="C31" s="14"/>
      <c r="F31" s="13"/>
    </row>
    <row r="32" spans="2:6" x14ac:dyDescent="0.3">
      <c r="B32" s="11"/>
      <c r="C32" s="14"/>
      <c r="F32" s="13"/>
    </row>
    <row r="33" spans="2:6" ht="16.2" x14ac:dyDescent="0.3">
      <c r="B33" s="11"/>
      <c r="C33" s="12" t="s">
        <v>199</v>
      </c>
      <c r="F33" s="13"/>
    </row>
    <row r="34" spans="2:6" x14ac:dyDescent="0.3">
      <c r="B34" s="11">
        <v>10</v>
      </c>
      <c r="C34" s="14"/>
      <c r="F34" s="13"/>
    </row>
    <row r="35" spans="2:6" x14ac:dyDescent="0.3">
      <c r="B35" s="11"/>
      <c r="C35" s="14"/>
      <c r="F35" s="13"/>
    </row>
    <row r="36" spans="2:6" ht="16.2" x14ac:dyDescent="0.3">
      <c r="B36" s="22"/>
      <c r="C36" s="23" t="s">
        <v>163</v>
      </c>
      <c r="D36" s="16"/>
      <c r="E36" s="16"/>
      <c r="F36" s="24"/>
    </row>
    <row r="37" spans="2:6" ht="112.5" customHeight="1" x14ac:dyDescent="0.3">
      <c r="B37" s="18">
        <v>11</v>
      </c>
      <c r="C37" s="19" t="s">
        <v>110</v>
      </c>
      <c r="D37" s="7"/>
      <c r="E37" s="40">
        <v>500</v>
      </c>
      <c r="F37" s="17" t="s">
        <v>15</v>
      </c>
    </row>
    <row r="38" spans="2:6" ht="112.5" customHeight="1" x14ac:dyDescent="0.3">
      <c r="B38" s="20"/>
      <c r="C38" s="19" t="s">
        <v>123</v>
      </c>
      <c r="D38" s="7"/>
      <c r="E38" s="26">
        <v>120</v>
      </c>
      <c r="F38" s="17" t="s">
        <v>4</v>
      </c>
    </row>
    <row r="39" spans="2:6" ht="22.5" customHeight="1" x14ac:dyDescent="0.3">
      <c r="B39" s="20"/>
      <c r="C39" s="47" t="s">
        <v>164</v>
      </c>
      <c r="D39" s="50"/>
      <c r="E39" s="26">
        <v>130</v>
      </c>
      <c r="F39" s="53" t="s">
        <v>4</v>
      </c>
    </row>
    <row r="40" spans="2:6" ht="22.5" customHeight="1" x14ac:dyDescent="0.3">
      <c r="B40" s="20"/>
      <c r="C40" s="48"/>
      <c r="D40" s="51"/>
      <c r="E40" s="26">
        <v>5</v>
      </c>
      <c r="F40" s="54"/>
    </row>
    <row r="41" spans="2:6" ht="22.5" customHeight="1" x14ac:dyDescent="0.3">
      <c r="B41" s="20"/>
      <c r="C41" s="48"/>
      <c r="D41" s="51"/>
      <c r="E41" s="26">
        <v>0</v>
      </c>
      <c r="F41" s="54"/>
    </row>
    <row r="42" spans="2:6" ht="22.5" customHeight="1" x14ac:dyDescent="0.3">
      <c r="B42" s="20"/>
      <c r="C42" s="48"/>
      <c r="D42" s="51"/>
      <c r="E42" s="26">
        <v>0</v>
      </c>
      <c r="F42" s="54"/>
    </row>
    <row r="43" spans="2:6" ht="22.5" customHeight="1" x14ac:dyDescent="0.3">
      <c r="B43" s="20"/>
      <c r="C43" s="49"/>
      <c r="D43" s="52"/>
      <c r="E43" s="26">
        <v>0</v>
      </c>
      <c r="F43" s="55"/>
    </row>
    <row r="44" spans="2:6" ht="22.5" customHeight="1" x14ac:dyDescent="0.3">
      <c r="B44" s="20"/>
      <c r="C44" s="47" t="s">
        <v>165</v>
      </c>
      <c r="D44" s="50"/>
      <c r="E44" s="26">
        <v>0.4</v>
      </c>
      <c r="F44" s="53" t="s">
        <v>4</v>
      </c>
    </row>
    <row r="45" spans="2:6" ht="22.5" customHeight="1" x14ac:dyDescent="0.3">
      <c r="B45" s="20"/>
      <c r="C45" s="48"/>
      <c r="D45" s="51"/>
      <c r="E45" s="26">
        <v>0.2</v>
      </c>
      <c r="F45" s="54"/>
    </row>
    <row r="46" spans="2:6" ht="22.5" customHeight="1" x14ac:dyDescent="0.3">
      <c r="B46" s="20"/>
      <c r="C46" s="48"/>
      <c r="D46" s="51"/>
      <c r="E46" s="26">
        <v>0</v>
      </c>
      <c r="F46" s="54"/>
    </row>
    <row r="47" spans="2:6" ht="22.5" customHeight="1" x14ac:dyDescent="0.3">
      <c r="B47" s="20"/>
      <c r="C47" s="48"/>
      <c r="D47" s="51"/>
      <c r="E47" s="26">
        <v>0</v>
      </c>
      <c r="F47" s="54"/>
    </row>
    <row r="48" spans="2:6" ht="22.5" customHeight="1" x14ac:dyDescent="0.3">
      <c r="B48" s="20"/>
      <c r="C48" s="49"/>
      <c r="D48" s="52"/>
      <c r="E48" s="26">
        <v>0</v>
      </c>
      <c r="F48" s="55"/>
    </row>
    <row r="49" spans="2:6" ht="112.5" customHeight="1" x14ac:dyDescent="0.3">
      <c r="B49" s="20"/>
      <c r="C49" s="19" t="s">
        <v>166</v>
      </c>
      <c r="D49" s="7"/>
      <c r="E49" s="26">
        <v>7</v>
      </c>
      <c r="F49" s="17" t="s">
        <v>4</v>
      </c>
    </row>
    <row r="50" spans="2:6" ht="112.5" customHeight="1" x14ac:dyDescent="0.3">
      <c r="B50" s="21"/>
      <c r="C50" s="19" t="s">
        <v>182</v>
      </c>
      <c r="D50" s="7"/>
      <c r="E50" s="26">
        <v>9</v>
      </c>
      <c r="F50" s="17" t="s">
        <v>4</v>
      </c>
    </row>
    <row r="52" spans="2:6" x14ac:dyDescent="0.3">
      <c r="C52" s="27" t="s">
        <v>167</v>
      </c>
    </row>
    <row r="54" spans="2:6" ht="18" x14ac:dyDescent="0.3">
      <c r="D54" s="28" t="s">
        <v>26</v>
      </c>
    </row>
  </sheetData>
  <mergeCells count="7">
    <mergeCell ref="C3:F3"/>
    <mergeCell ref="C39:C43"/>
    <mergeCell ref="D39:D43"/>
    <mergeCell ref="F39:F43"/>
    <mergeCell ref="C44:C48"/>
    <mergeCell ref="D44:D48"/>
    <mergeCell ref="F44:F48"/>
  </mergeCells>
  <hyperlinks>
    <hyperlink ref="D54" location="Результат!A1" display="Результат!" xr:uid="{00000000-0004-0000-00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2</xdr:col>
                    <xdr:colOff>0</xdr:colOff>
                    <xdr:row>6</xdr:row>
                    <xdr:rowOff>7620</xdr:rowOff>
                  </from>
                  <to>
                    <xdr:col>2</xdr:col>
                    <xdr:colOff>3413760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2</xdr:col>
                    <xdr:colOff>3390900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Drop Down 3">
              <controlPr defaultSize="0" autoLine="0" autoPict="0">
                <anchor moveWithCells="1">
                  <from>
                    <xdr:col>2</xdr:col>
                    <xdr:colOff>0</xdr:colOff>
                    <xdr:row>21</xdr:row>
                    <xdr:rowOff>22860</xdr:rowOff>
                  </from>
                  <to>
                    <xdr:col>2</xdr:col>
                    <xdr:colOff>3413760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Drop Down 4">
              <controlPr defaultSize="0" autoLine="0" autoPict="0">
                <anchor moveWithCells="1">
                  <from>
                    <xdr:col>2</xdr:col>
                    <xdr:colOff>7620</xdr:colOff>
                    <xdr:row>24</xdr:row>
                    <xdr:rowOff>22860</xdr:rowOff>
                  </from>
                  <to>
                    <xdr:col>2</xdr:col>
                    <xdr:colOff>3390900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Drop Down 5">
              <controlPr defaultSize="0" autoLine="0" autoPict="0">
                <anchor moveWithCells="1">
                  <from>
                    <xdr:col>2</xdr:col>
                    <xdr:colOff>7620</xdr:colOff>
                    <xdr:row>15</xdr:row>
                    <xdr:rowOff>7620</xdr:rowOff>
                  </from>
                  <to>
                    <xdr:col>2</xdr:col>
                    <xdr:colOff>3398520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Drop Down 6">
              <controlPr defaultSize="0" autoLine="0" autoPict="0">
                <anchor moveWithCells="1">
                  <from>
                    <xdr:col>2</xdr:col>
                    <xdr:colOff>7620</xdr:colOff>
                    <xdr:row>18</xdr:row>
                    <xdr:rowOff>7620</xdr:rowOff>
                  </from>
                  <to>
                    <xdr:col>2</xdr:col>
                    <xdr:colOff>3398520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Drop Down 7">
              <controlPr defaultSize="0" autoLine="0" autoPict="0">
                <anchor moveWithCells="1">
                  <from>
                    <xdr:col>2</xdr:col>
                    <xdr:colOff>0</xdr:colOff>
                    <xdr:row>9</xdr:row>
                    <xdr:rowOff>7620</xdr:rowOff>
                  </from>
                  <to>
                    <xdr:col>2</xdr:col>
                    <xdr:colOff>3413760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1" name="Drop Down 23">
              <controlPr defaultSize="0" autoLine="0" autoPict="0">
                <anchor moveWithCells="1">
                  <from>
                    <xdr:col>2</xdr:col>
                    <xdr:colOff>15240</xdr:colOff>
                    <xdr:row>27</xdr:row>
                    <xdr:rowOff>7620</xdr:rowOff>
                  </from>
                  <to>
                    <xdr:col>3</xdr:col>
                    <xdr:colOff>7620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2" name="Drop Down 24">
              <controlPr defaultSize="0" autoLine="0" autoPict="0">
                <anchor moveWithCells="1">
                  <from>
                    <xdr:col>2</xdr:col>
                    <xdr:colOff>7620</xdr:colOff>
                    <xdr:row>30</xdr:row>
                    <xdr:rowOff>30480</xdr:rowOff>
                  </from>
                  <to>
                    <xdr:col>2</xdr:col>
                    <xdr:colOff>3505200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3" name="Drop Down 25">
              <controlPr defaultSize="0" autoLine="0" autoPict="0">
                <anchor moveWithCells="1">
                  <from>
                    <xdr:col>2</xdr:col>
                    <xdr:colOff>7620</xdr:colOff>
                    <xdr:row>33</xdr:row>
                    <xdr:rowOff>7620</xdr:rowOff>
                  </from>
                  <to>
                    <xdr:col>2</xdr:col>
                    <xdr:colOff>3489960</xdr:colOff>
                    <xdr:row>34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3:K150"/>
  <sheetViews>
    <sheetView topLeftCell="A136" zoomScale="50" zoomScaleNormal="50" workbookViewId="0">
      <selection activeCell="D158" sqref="D158"/>
    </sheetView>
  </sheetViews>
  <sheetFormatPr defaultColWidth="9.109375" defaultRowHeight="15.6" x14ac:dyDescent="0.3"/>
  <cols>
    <col min="1" max="1" width="9.109375" style="1"/>
    <col min="2" max="2" width="71" style="1" customWidth="1"/>
    <col min="3" max="3" width="38" style="1" customWidth="1"/>
    <col min="4" max="4" width="30.5546875" style="1" customWidth="1"/>
    <col min="5" max="5" width="26.33203125" style="1" bestFit="1" customWidth="1"/>
    <col min="6" max="6" width="27.109375" style="1" customWidth="1"/>
    <col min="7" max="7" width="22.44140625" style="1" customWidth="1"/>
    <col min="8" max="8" width="13.44140625" style="1" bestFit="1" customWidth="1"/>
    <col min="9" max="9" width="9.109375" style="1"/>
    <col min="10" max="10" width="13.44140625" style="1" bestFit="1" customWidth="1"/>
    <col min="11" max="11" width="12.21875" style="1" bestFit="1" customWidth="1"/>
    <col min="12" max="16384" width="9.109375" style="1"/>
  </cols>
  <sheetData>
    <row r="3" spans="1:8" ht="31.2" x14ac:dyDescent="0.3">
      <c r="B3" s="1" t="s">
        <v>98</v>
      </c>
      <c r="C3" s="1" t="s">
        <v>99</v>
      </c>
      <c r="D3" s="1" t="s">
        <v>100</v>
      </c>
      <c r="E3" s="1" t="s">
        <v>101</v>
      </c>
      <c r="F3" s="1" t="s">
        <v>102</v>
      </c>
      <c r="G3" s="1" t="s">
        <v>103</v>
      </c>
    </row>
    <row r="4" spans="1:8" ht="62.4" x14ac:dyDescent="0.3">
      <c r="A4" s="4">
        <v>1</v>
      </c>
      <c r="B4" s="2" t="s">
        <v>91</v>
      </c>
      <c r="C4" s="1">
        <f>2.1*25</f>
        <v>52.5</v>
      </c>
      <c r="D4" s="3">
        <f>1.98*24.88</f>
        <v>49.2624</v>
      </c>
      <c r="E4" s="3">
        <f>2.02*24.92</f>
        <v>50.338400000000007</v>
      </c>
      <c r="F4" s="2" t="s">
        <v>147</v>
      </c>
      <c r="G4" s="3">
        <f>Дані!$E$37*0.006+$C$35/100*0.6</f>
        <v>3.7800000000000002</v>
      </c>
      <c r="H4" s="1">
        <v>0</v>
      </c>
    </row>
    <row r="5" spans="1:8" ht="62.4" x14ac:dyDescent="0.3">
      <c r="A5" s="4">
        <v>2</v>
      </c>
      <c r="B5" s="2" t="s">
        <v>90</v>
      </c>
      <c r="C5" s="1">
        <f>2.1*20</f>
        <v>42</v>
      </c>
      <c r="D5" s="3">
        <f>1.98*19.88</f>
        <v>39.362400000000001</v>
      </c>
      <c r="E5" s="3">
        <f>2.02*19.92</f>
        <v>40.238400000000006</v>
      </c>
      <c r="F5" s="2" t="s">
        <v>147</v>
      </c>
      <c r="G5" s="3">
        <f>Дані!$E$37*0.006+$C$35/100*0.6</f>
        <v>3.7800000000000002</v>
      </c>
      <c r="H5" s="1">
        <v>0</v>
      </c>
    </row>
    <row r="6" spans="1:8" ht="62.4" x14ac:dyDescent="0.3">
      <c r="A6" s="4">
        <v>3</v>
      </c>
      <c r="B6" s="2" t="s">
        <v>92</v>
      </c>
      <c r="C6" s="1">
        <f>2.1*20</f>
        <v>42</v>
      </c>
      <c r="D6" s="3">
        <f>D5</f>
        <v>39.362400000000001</v>
      </c>
      <c r="E6" s="3">
        <f>E5</f>
        <v>40.238400000000006</v>
      </c>
      <c r="F6" s="2" t="s">
        <v>147</v>
      </c>
      <c r="G6" s="3">
        <f>Дані!$E$37*0.006+$C$35/100*0.6</f>
        <v>3.7800000000000002</v>
      </c>
      <c r="H6" s="1">
        <v>0</v>
      </c>
    </row>
    <row r="7" spans="1:8" ht="31.2" x14ac:dyDescent="0.3">
      <c r="A7" s="4">
        <v>4</v>
      </c>
      <c r="B7" s="2" t="s">
        <v>93</v>
      </c>
      <c r="C7" s="1">
        <f>2.1*25</f>
        <v>52.5</v>
      </c>
      <c r="D7" s="3">
        <f>1.98*24.88</f>
        <v>49.2624</v>
      </c>
      <c r="E7" s="3">
        <f>2.02*24.92</f>
        <v>50.338400000000007</v>
      </c>
      <c r="F7" s="1">
        <v>0</v>
      </c>
      <c r="G7" s="3">
        <f>Дані!$E$37*0.006+$C$35/100*0.6</f>
        <v>3.7800000000000002</v>
      </c>
      <c r="H7" s="1">
        <v>0</v>
      </c>
    </row>
    <row r="8" spans="1:8" ht="31.2" x14ac:dyDescent="0.3">
      <c r="A8" s="4">
        <v>5</v>
      </c>
      <c r="B8" s="2" t="s">
        <v>94</v>
      </c>
      <c r="C8" s="1">
        <f>2.1*20</f>
        <v>42</v>
      </c>
      <c r="D8" s="3">
        <f>D6</f>
        <v>39.362400000000001</v>
      </c>
      <c r="E8" s="3">
        <f>E6</f>
        <v>40.238400000000006</v>
      </c>
      <c r="F8" s="1">
        <v>0</v>
      </c>
      <c r="G8" s="3">
        <f>Дані!$E$37*0.006+$C$35/100*0.6</f>
        <v>3.7800000000000002</v>
      </c>
      <c r="H8" s="1">
        <v>0</v>
      </c>
    </row>
    <row r="9" spans="1:8" ht="31.2" x14ac:dyDescent="0.3">
      <c r="A9" s="4">
        <v>6</v>
      </c>
      <c r="B9" s="2" t="s">
        <v>95</v>
      </c>
      <c r="C9" s="1">
        <f>2.1*20</f>
        <v>42</v>
      </c>
      <c r="D9" s="3">
        <f>D8</f>
        <v>39.362400000000001</v>
      </c>
      <c r="E9" s="3">
        <v>40.24</v>
      </c>
      <c r="F9" s="1">
        <v>0</v>
      </c>
      <c r="G9" s="3">
        <f>Дані!$E$37*0.006+$C$35/100*0.6</f>
        <v>3.7800000000000002</v>
      </c>
      <c r="H9" s="1">
        <v>0</v>
      </c>
    </row>
    <row r="10" spans="1:8" ht="31.2" x14ac:dyDescent="0.3">
      <c r="A10" s="4">
        <v>7</v>
      </c>
      <c r="B10" s="2" t="s">
        <v>96</v>
      </c>
      <c r="C10" s="1">
        <f>2.1*25</f>
        <v>52.5</v>
      </c>
      <c r="D10" s="3">
        <f>1.98*24.88</f>
        <v>49.2624</v>
      </c>
      <c r="E10" s="3">
        <f>2.02*24.92</f>
        <v>50.338400000000007</v>
      </c>
      <c r="F10" s="1">
        <v>0</v>
      </c>
      <c r="G10" s="1">
        <v>0</v>
      </c>
      <c r="H10" s="3">
        <f>Дані!$E$37*0.006+$C$35/100*0.6</f>
        <v>3.7800000000000002</v>
      </c>
    </row>
    <row r="11" spans="1:8" ht="62.4" x14ac:dyDescent="0.3">
      <c r="A11" s="4">
        <v>8</v>
      </c>
      <c r="B11" s="2" t="s">
        <v>88</v>
      </c>
      <c r="C11" s="1">
        <f>2.12*20</f>
        <v>42.400000000000006</v>
      </c>
      <c r="D11" s="3">
        <f>2*19.88</f>
        <v>39.76</v>
      </c>
      <c r="E11" s="3">
        <f>2.04*19.92</f>
        <v>40.636800000000001</v>
      </c>
      <c r="F11" s="1" t="s">
        <v>89</v>
      </c>
      <c r="G11" s="3">
        <f>Дані!$E$37*0.006+$C$35/100*0.6</f>
        <v>3.7800000000000002</v>
      </c>
      <c r="H11" s="1">
        <v>0</v>
      </c>
    </row>
    <row r="12" spans="1:8" ht="62.4" x14ac:dyDescent="0.3">
      <c r="B12" s="5">
        <v>1</v>
      </c>
      <c r="C12" s="6">
        <f t="shared" ref="C12:H12" si="0">INDEX(C4:C11,$B$12)</f>
        <v>52.5</v>
      </c>
      <c r="D12" s="29">
        <f t="shared" si="0"/>
        <v>49.2624</v>
      </c>
      <c r="E12" s="29">
        <f t="shared" si="0"/>
        <v>50.338400000000007</v>
      </c>
      <c r="F12" s="29" t="str">
        <f t="shared" si="0"/>
        <v xml:space="preserve">Покрівельна неармована ПВХ-мембрана Soprema Flagon® S 1,5 мм (1.05х20 м) </v>
      </c>
      <c r="G12" s="29">
        <f t="shared" si="0"/>
        <v>3.7800000000000002</v>
      </c>
      <c r="H12" s="29">
        <f t="shared" si="0"/>
        <v>0</v>
      </c>
    </row>
    <row r="13" spans="1:8" ht="31.2" x14ac:dyDescent="0.3">
      <c r="B13" s="6" t="str">
        <f>INDEX(B4:B11,$B$12)</f>
        <v xml:space="preserve">Покрівельна армована ПВХ-мембрана Soprema Flagon® SR 1,2 мм (2.10х25 м) </v>
      </c>
    </row>
    <row r="15" spans="1:8" x14ac:dyDescent="0.3">
      <c r="A15" s="4">
        <v>2</v>
      </c>
      <c r="B15" s="2" t="s">
        <v>97</v>
      </c>
      <c r="C15" s="3">
        <f>D12</f>
        <v>49.2624</v>
      </c>
    </row>
    <row r="16" spans="1:8" x14ac:dyDescent="0.3">
      <c r="B16" s="2" t="s">
        <v>109</v>
      </c>
      <c r="C16" s="3">
        <f>E12</f>
        <v>50.338400000000007</v>
      </c>
    </row>
    <row r="17" spans="1:3" x14ac:dyDescent="0.3">
      <c r="B17" s="5">
        <v>1</v>
      </c>
      <c r="C17" s="29">
        <f>INDEX(C15:C16,B17)</f>
        <v>49.2624</v>
      </c>
    </row>
    <row r="20" spans="1:3" x14ac:dyDescent="0.3">
      <c r="A20" s="4">
        <v>3</v>
      </c>
      <c r="B20" s="2" t="s">
        <v>104</v>
      </c>
    </row>
    <row r="21" spans="1:3" x14ac:dyDescent="0.3">
      <c r="B21" s="2" t="s">
        <v>105</v>
      </c>
      <c r="C21" s="1">
        <v>0</v>
      </c>
    </row>
    <row r="22" spans="1:3" x14ac:dyDescent="0.3">
      <c r="B22" s="2" t="s">
        <v>106</v>
      </c>
      <c r="C22" s="1">
        <v>1</v>
      </c>
    </row>
    <row r="23" spans="1:3" x14ac:dyDescent="0.3">
      <c r="B23" s="5">
        <v>1</v>
      </c>
      <c r="C23" s="6">
        <f>INDEX(C21:C22,B23)</f>
        <v>0</v>
      </c>
    </row>
    <row r="26" spans="1:3" x14ac:dyDescent="0.3">
      <c r="A26" s="4">
        <v>4</v>
      </c>
      <c r="B26" s="2" t="s">
        <v>107</v>
      </c>
    </row>
    <row r="27" spans="1:3" x14ac:dyDescent="0.3">
      <c r="B27" s="2" t="s">
        <v>105</v>
      </c>
      <c r="C27" s="1">
        <v>0</v>
      </c>
    </row>
    <row r="28" spans="1:3" x14ac:dyDescent="0.3">
      <c r="B28" s="2" t="s">
        <v>106</v>
      </c>
      <c r="C28" s="1">
        <v>1</v>
      </c>
    </row>
    <row r="29" spans="1:3" x14ac:dyDescent="0.3">
      <c r="B29" s="2" t="s">
        <v>108</v>
      </c>
      <c r="C29" s="1">
        <v>2</v>
      </c>
    </row>
    <row r="30" spans="1:3" x14ac:dyDescent="0.3">
      <c r="B30" s="5">
        <v>2</v>
      </c>
      <c r="C30" s="6">
        <f>INDEX(C27:C29,B30)</f>
        <v>1</v>
      </c>
    </row>
    <row r="33" spans="1:6" x14ac:dyDescent="0.3">
      <c r="A33" s="4">
        <v>5</v>
      </c>
      <c r="B33" s="1" t="s">
        <v>114</v>
      </c>
      <c r="C33" s="1" t="s">
        <v>113</v>
      </c>
      <c r="D33" s="1" t="s">
        <v>115</v>
      </c>
      <c r="E33" s="1" t="s">
        <v>116</v>
      </c>
      <c r="F33" s="1" t="s">
        <v>115</v>
      </c>
    </row>
    <row r="34" spans="1:6" x14ac:dyDescent="0.3">
      <c r="B34" s="2" t="s">
        <v>110</v>
      </c>
      <c r="C34" s="1">
        <f>Дані!E37</f>
        <v>500</v>
      </c>
      <c r="D34" s="1" t="s">
        <v>34</v>
      </c>
      <c r="E34" s="1">
        <f>C34</f>
        <v>500</v>
      </c>
      <c r="F34" s="1" t="s">
        <v>34</v>
      </c>
    </row>
    <row r="35" spans="1:6" ht="31.5" customHeight="1" x14ac:dyDescent="0.3">
      <c r="B35" s="57" t="s">
        <v>111</v>
      </c>
      <c r="C35" s="1">
        <f>Дані!E39</f>
        <v>130</v>
      </c>
      <c r="D35" s="56" t="s">
        <v>4</v>
      </c>
      <c r="E35" s="3">
        <f>C35*C40</f>
        <v>67.600000000000009</v>
      </c>
      <c r="F35" s="1" t="s">
        <v>34</v>
      </c>
    </row>
    <row r="36" spans="1:6" x14ac:dyDescent="0.3">
      <c r="B36" s="57"/>
      <c r="C36" s="1">
        <f>Дані!E40</f>
        <v>5</v>
      </c>
      <c r="D36" s="56"/>
      <c r="E36" s="3">
        <f>C36*C41</f>
        <v>1.6</v>
      </c>
      <c r="F36" s="1" t="s">
        <v>34</v>
      </c>
    </row>
    <row r="37" spans="1:6" x14ac:dyDescent="0.3">
      <c r="B37" s="57"/>
      <c r="C37" s="1">
        <f>Дані!E41</f>
        <v>0</v>
      </c>
      <c r="D37" s="56"/>
      <c r="E37" s="3">
        <f>C37*C42</f>
        <v>0</v>
      </c>
      <c r="F37" s="1" t="s">
        <v>34</v>
      </c>
    </row>
    <row r="38" spans="1:6" x14ac:dyDescent="0.3">
      <c r="B38" s="57"/>
      <c r="C38" s="1">
        <f>Дані!E42</f>
        <v>0</v>
      </c>
      <c r="D38" s="56"/>
      <c r="E38" s="3">
        <f>C38*C43</f>
        <v>0</v>
      </c>
      <c r="F38" s="1" t="s">
        <v>34</v>
      </c>
    </row>
    <row r="39" spans="1:6" x14ac:dyDescent="0.3">
      <c r="B39" s="57"/>
      <c r="C39" s="1">
        <f>Дані!E43</f>
        <v>0</v>
      </c>
      <c r="D39" s="56"/>
      <c r="E39" s="3">
        <f>C39*C44</f>
        <v>0</v>
      </c>
      <c r="F39" s="1" t="s">
        <v>34</v>
      </c>
    </row>
    <row r="40" spans="1:6" x14ac:dyDescent="0.3">
      <c r="B40" s="57" t="s">
        <v>112</v>
      </c>
      <c r="C40" s="1">
        <f>IF(Дані!E44=0,0,Дані!E44+0.12)</f>
        <v>0.52</v>
      </c>
      <c r="D40" s="56" t="s">
        <v>4</v>
      </c>
      <c r="E40" s="58">
        <f>E35+E36+E37+E38+E39</f>
        <v>69.2</v>
      </c>
      <c r="F40" s="56" t="s">
        <v>34</v>
      </c>
    </row>
    <row r="41" spans="1:6" x14ac:dyDescent="0.3">
      <c r="B41" s="57"/>
      <c r="C41" s="1">
        <f>IF(Дані!E45=0,0,Дані!E45+0.12)</f>
        <v>0.32</v>
      </c>
      <c r="D41" s="56"/>
      <c r="E41" s="58"/>
      <c r="F41" s="56"/>
    </row>
    <row r="42" spans="1:6" x14ac:dyDescent="0.3">
      <c r="B42" s="57"/>
      <c r="C42" s="1">
        <f>IF(Дані!E46=0,0,Дані!E46+0.12)</f>
        <v>0</v>
      </c>
      <c r="D42" s="56"/>
      <c r="E42" s="58"/>
      <c r="F42" s="56"/>
    </row>
    <row r="43" spans="1:6" x14ac:dyDescent="0.3">
      <c r="B43" s="57"/>
      <c r="C43" s="1">
        <f>IF(Дані!E47=0,0,Дані!E47+0.12)</f>
        <v>0</v>
      </c>
      <c r="D43" s="56"/>
      <c r="E43" s="58"/>
      <c r="F43" s="56"/>
    </row>
    <row r="44" spans="1:6" x14ac:dyDescent="0.3">
      <c r="B44" s="57"/>
      <c r="C44" s="1">
        <f>IF(Дані!E48=0,0,Дані!E48+0.12)</f>
        <v>0</v>
      </c>
      <c r="D44" s="56"/>
      <c r="E44" s="58"/>
      <c r="F44" s="56"/>
    </row>
    <row r="45" spans="1:6" x14ac:dyDescent="0.3">
      <c r="E45" s="44">
        <f>E34+E40</f>
        <v>569.20000000000005</v>
      </c>
      <c r="F45" s="29" t="s">
        <v>34</v>
      </c>
    </row>
    <row r="46" spans="1:6" x14ac:dyDescent="0.3">
      <c r="D46" s="1" t="s">
        <v>117</v>
      </c>
      <c r="E46" s="30">
        <f>Результат!D7/Программа!E45</f>
        <v>1.0657215239208808</v>
      </c>
      <c r="F46" s="3"/>
    </row>
    <row r="47" spans="1:6" x14ac:dyDescent="0.3">
      <c r="D47" s="3"/>
      <c r="E47" s="3"/>
    </row>
    <row r="49" spans="1:7" x14ac:dyDescent="0.3">
      <c r="A49" s="4">
        <v>6</v>
      </c>
      <c r="B49" s="1" t="s">
        <v>118</v>
      </c>
      <c r="C49" s="1" t="s">
        <v>113</v>
      </c>
      <c r="D49" s="1" t="s">
        <v>37</v>
      </c>
      <c r="E49" s="1" t="s">
        <v>115</v>
      </c>
      <c r="F49" s="1" t="s">
        <v>113</v>
      </c>
      <c r="G49" s="1" t="s">
        <v>115</v>
      </c>
    </row>
    <row r="50" spans="1:7" x14ac:dyDescent="0.3">
      <c r="B50" s="2" t="s">
        <v>119</v>
      </c>
      <c r="C50" s="1">
        <f>Дані!E49</f>
        <v>7</v>
      </c>
      <c r="D50" s="1">
        <v>7.0000000000000007E-2</v>
      </c>
      <c r="E50" s="1" t="s">
        <v>4</v>
      </c>
      <c r="F50" s="1">
        <f>C50*D50</f>
        <v>0.49000000000000005</v>
      </c>
      <c r="G50" s="1" t="s">
        <v>34</v>
      </c>
    </row>
    <row r="51" spans="1:7" x14ac:dyDescent="0.3">
      <c r="B51" s="2" t="s">
        <v>120</v>
      </c>
      <c r="C51" s="1">
        <f>Дані!E50</f>
        <v>9</v>
      </c>
      <c r="D51" s="1">
        <v>0.18</v>
      </c>
      <c r="E51" s="1" t="s">
        <v>4</v>
      </c>
      <c r="F51" s="1">
        <f>C51*D51</f>
        <v>1.6199999999999999</v>
      </c>
      <c r="G51" s="1" t="s">
        <v>34</v>
      </c>
    </row>
    <row r="52" spans="1:7" x14ac:dyDescent="0.3">
      <c r="B52" s="2" t="s">
        <v>121</v>
      </c>
      <c r="C52" s="6">
        <f>C50+C51</f>
        <v>16</v>
      </c>
      <c r="F52" s="29">
        <f>F50+F51</f>
        <v>2.11</v>
      </c>
      <c r="G52" s="29" t="s">
        <v>34</v>
      </c>
    </row>
    <row r="55" spans="1:7" x14ac:dyDescent="0.3">
      <c r="A55" s="4">
        <v>6</v>
      </c>
      <c r="B55" s="1" t="s">
        <v>122</v>
      </c>
      <c r="C55" s="1" t="s">
        <v>113</v>
      </c>
      <c r="D55" s="1" t="s">
        <v>115</v>
      </c>
      <c r="E55" s="1" t="s">
        <v>116</v>
      </c>
      <c r="F55" s="1" t="s">
        <v>115</v>
      </c>
    </row>
    <row r="56" spans="1:7" x14ac:dyDescent="0.3">
      <c r="B56" s="2" t="s">
        <v>110</v>
      </c>
      <c r="C56" s="1">
        <f>Дані!E37</f>
        <v>500</v>
      </c>
      <c r="D56" s="1" t="s">
        <v>34</v>
      </c>
      <c r="E56" s="1">
        <f>C56</f>
        <v>500</v>
      </c>
      <c r="F56" s="1" t="s">
        <v>34</v>
      </c>
    </row>
    <row r="57" spans="1:7" x14ac:dyDescent="0.3">
      <c r="B57" s="2" t="s">
        <v>123</v>
      </c>
      <c r="C57" s="1">
        <f>MAX(Дані!E38,(Дані!E39+Дані!E40+Дані!E41+Дані!E42+Дані!E43))</f>
        <v>135</v>
      </c>
      <c r="D57" s="1" t="s">
        <v>4</v>
      </c>
      <c r="E57" s="1">
        <f>C57*B103</f>
        <v>21.6</v>
      </c>
      <c r="F57" s="1" t="s">
        <v>34</v>
      </c>
    </row>
    <row r="58" spans="1:7" x14ac:dyDescent="0.3">
      <c r="E58" s="29">
        <f>E56+E57</f>
        <v>521.6</v>
      </c>
      <c r="F58" s="29" t="s">
        <v>34</v>
      </c>
    </row>
    <row r="59" spans="1:7" x14ac:dyDescent="0.3">
      <c r="D59" s="1" t="s">
        <v>117</v>
      </c>
      <c r="E59" s="30">
        <f>Результат!D11/Программа!E58</f>
        <v>1.1197243755383288</v>
      </c>
    </row>
    <row r="62" spans="1:7" x14ac:dyDescent="0.3">
      <c r="A62" s="4">
        <v>7</v>
      </c>
      <c r="B62" s="1" t="s">
        <v>124</v>
      </c>
    </row>
    <row r="63" spans="1:7" x14ac:dyDescent="0.3">
      <c r="A63" s="4"/>
      <c r="B63" s="1" t="s">
        <v>125</v>
      </c>
      <c r="C63" s="1" t="s">
        <v>126</v>
      </c>
      <c r="D63" s="1" t="s">
        <v>53</v>
      </c>
      <c r="G63" s="1" t="s">
        <v>194</v>
      </c>
    </row>
    <row r="64" spans="1:7" ht="31.2" x14ac:dyDescent="0.3">
      <c r="A64" s="4"/>
      <c r="B64" s="2" t="s">
        <v>127</v>
      </c>
      <c r="C64" s="2" t="s">
        <v>173</v>
      </c>
      <c r="D64" s="2" t="s">
        <v>131</v>
      </c>
      <c r="E64" s="1">
        <v>1</v>
      </c>
      <c r="F64" s="1">
        <v>1</v>
      </c>
      <c r="G64" s="1">
        <v>1</v>
      </c>
    </row>
    <row r="65" spans="1:7" ht="31.2" x14ac:dyDescent="0.3">
      <c r="A65" s="4"/>
      <c r="B65" s="2" t="s">
        <v>128</v>
      </c>
      <c r="C65" s="2" t="s">
        <v>172</v>
      </c>
      <c r="D65" s="2" t="s">
        <v>131</v>
      </c>
      <c r="E65" s="1">
        <v>2</v>
      </c>
      <c r="F65" s="1">
        <v>2</v>
      </c>
      <c r="G65" s="1">
        <v>0</v>
      </c>
    </row>
    <row r="66" spans="1:7" ht="46.8" x14ac:dyDescent="0.3">
      <c r="A66" s="4"/>
      <c r="B66" s="2" t="s">
        <v>187</v>
      </c>
      <c r="C66" s="2" t="s">
        <v>173</v>
      </c>
      <c r="D66" s="2" t="s">
        <v>174</v>
      </c>
      <c r="E66" s="1">
        <v>3</v>
      </c>
      <c r="F66" s="1">
        <v>0</v>
      </c>
      <c r="G66" s="1">
        <v>1</v>
      </c>
    </row>
    <row r="67" spans="1:7" ht="46.8" x14ac:dyDescent="0.3">
      <c r="A67" s="4"/>
      <c r="B67" s="2" t="s">
        <v>188</v>
      </c>
      <c r="C67" s="2" t="s">
        <v>172</v>
      </c>
      <c r="D67" s="2" t="s">
        <v>174</v>
      </c>
      <c r="E67" s="1">
        <v>4</v>
      </c>
      <c r="F67" s="1">
        <v>0</v>
      </c>
      <c r="G67" s="1">
        <v>0</v>
      </c>
    </row>
    <row r="68" spans="1:7" ht="46.8" x14ac:dyDescent="0.3">
      <c r="A68" s="4"/>
      <c r="B68" s="2" t="s">
        <v>50</v>
      </c>
      <c r="C68" s="2" t="s">
        <v>171</v>
      </c>
      <c r="D68" s="2" t="s">
        <v>174</v>
      </c>
      <c r="E68" s="1">
        <v>0</v>
      </c>
      <c r="F68" s="1">
        <v>0</v>
      </c>
      <c r="G68" s="1">
        <v>0</v>
      </c>
    </row>
    <row r="69" spans="1:7" ht="46.8" x14ac:dyDescent="0.3">
      <c r="A69" s="4"/>
      <c r="B69" s="2" t="s">
        <v>129</v>
      </c>
      <c r="C69" s="2" t="s">
        <v>130</v>
      </c>
      <c r="D69" s="2" t="s">
        <v>174</v>
      </c>
      <c r="E69" s="1">
        <v>0</v>
      </c>
      <c r="F69" s="1">
        <v>0</v>
      </c>
      <c r="G69" s="1">
        <v>1</v>
      </c>
    </row>
    <row r="70" spans="1:7" ht="31.2" x14ac:dyDescent="0.3">
      <c r="A70" s="4"/>
      <c r="B70" s="5">
        <v>1</v>
      </c>
      <c r="C70" s="6" t="str">
        <f>INDEX(C64:C69,$B$70)</f>
        <v>Саморіз для кріплення ізоляції до металу довжиною</v>
      </c>
      <c r="D70" s="6" t="str">
        <f>INDEX(D64:D69,$B$70)</f>
        <v>Телескопічний дюбель LDK довжиною, мм</v>
      </c>
      <c r="E70" s="6">
        <f>INDEX(E64:E69,$B$70)</f>
        <v>1</v>
      </c>
      <c r="F70" s="6">
        <f>INDEX(F64:F69,$B$70)</f>
        <v>1</v>
      </c>
      <c r="G70" s="1">
        <f>INDEX(G64:G69,B70)</f>
        <v>1</v>
      </c>
    </row>
    <row r="71" spans="1:7" x14ac:dyDescent="0.3">
      <c r="A71" s="4"/>
    </row>
    <row r="72" spans="1:7" x14ac:dyDescent="0.3">
      <c r="A72" s="4"/>
      <c r="B72" s="1" t="s">
        <v>132</v>
      </c>
      <c r="C72" s="1" t="s">
        <v>113</v>
      </c>
      <c r="D72" s="1" t="s">
        <v>115</v>
      </c>
    </row>
    <row r="73" spans="1:7" x14ac:dyDescent="0.3">
      <c r="A73" s="4"/>
      <c r="B73" s="2" t="s">
        <v>133</v>
      </c>
      <c r="C73" s="1">
        <f>Дані!E37*3.5</f>
        <v>1750</v>
      </c>
      <c r="D73" s="1" t="s">
        <v>25</v>
      </c>
    </row>
    <row r="74" spans="1:7" x14ac:dyDescent="0.3">
      <c r="B74" s="2" t="s">
        <v>109</v>
      </c>
      <c r="C74" s="1">
        <f>Дані!E38/0.2</f>
        <v>600</v>
      </c>
      <c r="D74" s="1" t="s">
        <v>25</v>
      </c>
    </row>
    <row r="75" spans="1:7" x14ac:dyDescent="0.3">
      <c r="C75" s="6">
        <f>INDEX(C73:C74,B17)</f>
        <v>1750</v>
      </c>
    </row>
    <row r="77" spans="1:7" x14ac:dyDescent="0.3">
      <c r="B77" s="1" t="s">
        <v>60</v>
      </c>
    </row>
    <row r="78" spans="1:7" ht="46.8" x14ac:dyDescent="0.3">
      <c r="A78" s="4">
        <v>8</v>
      </c>
      <c r="B78" s="1" t="s">
        <v>134</v>
      </c>
      <c r="C78" s="1" t="s">
        <v>135</v>
      </c>
      <c r="D78" s="1" t="s">
        <v>136</v>
      </c>
      <c r="E78" s="1" t="s">
        <v>137</v>
      </c>
      <c r="F78" s="1" t="s">
        <v>138</v>
      </c>
      <c r="G78" s="1" t="s">
        <v>137</v>
      </c>
    </row>
    <row r="79" spans="1:7" x14ac:dyDescent="0.3">
      <c r="B79" s="1">
        <v>50</v>
      </c>
      <c r="C79" s="1">
        <v>35</v>
      </c>
      <c r="D79" s="1">
        <v>50</v>
      </c>
      <c r="E79" s="1">
        <v>60</v>
      </c>
      <c r="F79" s="1">
        <v>80</v>
      </c>
      <c r="G79" s="1">
        <v>100</v>
      </c>
    </row>
    <row r="80" spans="1:7" x14ac:dyDescent="0.3">
      <c r="B80" s="1">
        <v>60</v>
      </c>
      <c r="C80" s="1">
        <v>35</v>
      </c>
      <c r="D80" s="1">
        <v>60</v>
      </c>
      <c r="E80" s="1">
        <v>70</v>
      </c>
      <c r="F80" s="1">
        <v>100</v>
      </c>
      <c r="G80" s="1">
        <v>120</v>
      </c>
    </row>
    <row r="81" spans="2:7" x14ac:dyDescent="0.3">
      <c r="B81" s="1">
        <v>70</v>
      </c>
      <c r="C81" s="1">
        <v>55</v>
      </c>
      <c r="D81" s="1">
        <v>50</v>
      </c>
      <c r="E81" s="1">
        <v>60</v>
      </c>
      <c r="F81" s="1">
        <v>100</v>
      </c>
      <c r="G81" s="1">
        <v>120</v>
      </c>
    </row>
    <row r="82" spans="2:7" x14ac:dyDescent="0.3">
      <c r="B82" s="1">
        <v>80</v>
      </c>
      <c r="C82" s="1">
        <v>55</v>
      </c>
      <c r="D82" s="1">
        <v>60</v>
      </c>
      <c r="E82" s="1">
        <v>70</v>
      </c>
      <c r="F82" s="1">
        <v>120</v>
      </c>
      <c r="G82" s="1">
        <v>140</v>
      </c>
    </row>
    <row r="83" spans="2:7" x14ac:dyDescent="0.3">
      <c r="B83" s="1">
        <v>90</v>
      </c>
      <c r="C83" s="1">
        <v>55</v>
      </c>
      <c r="D83" s="1">
        <v>70</v>
      </c>
      <c r="E83" s="1">
        <v>80</v>
      </c>
      <c r="F83" s="1">
        <v>120</v>
      </c>
      <c r="G83" s="1">
        <v>140</v>
      </c>
    </row>
    <row r="84" spans="2:7" x14ac:dyDescent="0.3">
      <c r="B84" s="1">
        <v>100</v>
      </c>
      <c r="C84" s="1">
        <v>85</v>
      </c>
      <c r="D84" s="1">
        <v>50</v>
      </c>
      <c r="E84" s="1">
        <v>60</v>
      </c>
      <c r="F84" s="1">
        <v>150</v>
      </c>
      <c r="G84" s="1">
        <v>160</v>
      </c>
    </row>
    <row r="85" spans="2:7" x14ac:dyDescent="0.3">
      <c r="B85" s="1">
        <v>110</v>
      </c>
      <c r="C85" s="1">
        <v>85</v>
      </c>
      <c r="D85" s="1">
        <v>60</v>
      </c>
      <c r="E85" s="1">
        <v>70</v>
      </c>
      <c r="F85" s="1">
        <v>150</v>
      </c>
      <c r="G85" s="1">
        <v>160</v>
      </c>
    </row>
    <row r="86" spans="2:7" x14ac:dyDescent="0.3">
      <c r="B86" s="1">
        <v>120</v>
      </c>
      <c r="C86" s="1">
        <v>105</v>
      </c>
      <c r="D86" s="1">
        <v>50</v>
      </c>
      <c r="E86" s="1">
        <v>60</v>
      </c>
      <c r="F86" s="1">
        <v>0</v>
      </c>
      <c r="G86" s="1">
        <v>0</v>
      </c>
    </row>
    <row r="87" spans="2:7" x14ac:dyDescent="0.3">
      <c r="B87" s="1">
        <v>130</v>
      </c>
      <c r="C87" s="1">
        <v>105</v>
      </c>
      <c r="D87" s="1">
        <v>60</v>
      </c>
      <c r="E87" s="1">
        <v>70</v>
      </c>
      <c r="F87" s="1">
        <v>0</v>
      </c>
      <c r="G87" s="1">
        <v>0</v>
      </c>
    </row>
    <row r="88" spans="2:7" x14ac:dyDescent="0.3">
      <c r="B88" s="1">
        <v>140</v>
      </c>
      <c r="C88" s="1">
        <v>105</v>
      </c>
      <c r="D88" s="1">
        <v>70</v>
      </c>
      <c r="E88" s="1">
        <v>80</v>
      </c>
      <c r="F88" s="1">
        <v>0</v>
      </c>
      <c r="G88" s="1">
        <v>0</v>
      </c>
    </row>
    <row r="89" spans="2:7" x14ac:dyDescent="0.3">
      <c r="B89" s="1">
        <v>150</v>
      </c>
      <c r="C89" s="1">
        <v>135</v>
      </c>
      <c r="D89" s="1">
        <v>50</v>
      </c>
      <c r="E89" s="1">
        <v>60</v>
      </c>
      <c r="F89" s="1">
        <v>0</v>
      </c>
      <c r="G89" s="1">
        <v>0</v>
      </c>
    </row>
    <row r="90" spans="2:7" x14ac:dyDescent="0.3">
      <c r="B90" s="1">
        <v>160</v>
      </c>
      <c r="C90" s="1">
        <v>135</v>
      </c>
      <c r="D90" s="1">
        <v>60</v>
      </c>
      <c r="E90" s="1">
        <v>70</v>
      </c>
      <c r="F90" s="1">
        <v>0</v>
      </c>
      <c r="G90" s="1">
        <v>0</v>
      </c>
    </row>
    <row r="91" spans="2:7" x14ac:dyDescent="0.3">
      <c r="B91" s="1">
        <v>170</v>
      </c>
      <c r="C91" s="1">
        <v>155</v>
      </c>
      <c r="D91" s="1">
        <v>50</v>
      </c>
      <c r="E91" s="1">
        <v>60</v>
      </c>
      <c r="F91" s="1">
        <v>0</v>
      </c>
      <c r="G91" s="1">
        <v>0</v>
      </c>
    </row>
    <row r="92" spans="2:7" x14ac:dyDescent="0.3">
      <c r="B92" s="1">
        <v>180</v>
      </c>
      <c r="C92" s="1">
        <v>165</v>
      </c>
      <c r="D92" s="1">
        <v>50</v>
      </c>
      <c r="E92" s="1">
        <v>60</v>
      </c>
      <c r="F92" s="1">
        <v>0</v>
      </c>
      <c r="G92" s="1">
        <v>0</v>
      </c>
    </row>
    <row r="93" spans="2:7" x14ac:dyDescent="0.3">
      <c r="B93" s="1">
        <v>190</v>
      </c>
      <c r="C93" s="1">
        <v>165</v>
      </c>
      <c r="D93" s="1">
        <v>60</v>
      </c>
      <c r="E93" s="1">
        <v>70</v>
      </c>
      <c r="F93" s="1">
        <v>0</v>
      </c>
      <c r="G93" s="1">
        <v>0</v>
      </c>
    </row>
    <row r="94" spans="2:7" x14ac:dyDescent="0.3">
      <c r="B94" s="1">
        <v>200</v>
      </c>
      <c r="C94" s="1">
        <v>185</v>
      </c>
      <c r="D94" s="1">
        <v>50</v>
      </c>
      <c r="E94" s="1">
        <v>60</v>
      </c>
      <c r="F94" s="1">
        <v>0</v>
      </c>
      <c r="G94" s="1">
        <v>0</v>
      </c>
    </row>
    <row r="95" spans="2:7" x14ac:dyDescent="0.3">
      <c r="B95" s="1">
        <v>210</v>
      </c>
      <c r="C95" s="1">
        <v>185</v>
      </c>
      <c r="D95" s="1">
        <v>60</v>
      </c>
      <c r="E95" s="1">
        <v>70</v>
      </c>
      <c r="F95" s="1">
        <v>0</v>
      </c>
      <c r="G95" s="1">
        <v>0</v>
      </c>
    </row>
    <row r="96" spans="2:7" x14ac:dyDescent="0.3">
      <c r="B96" s="1">
        <v>220</v>
      </c>
      <c r="C96" s="1">
        <v>185</v>
      </c>
      <c r="D96" s="1">
        <v>70</v>
      </c>
      <c r="E96" s="1">
        <v>80</v>
      </c>
      <c r="F96" s="1">
        <v>0</v>
      </c>
      <c r="G96" s="1">
        <v>0</v>
      </c>
    </row>
    <row r="97" spans="1:7" x14ac:dyDescent="0.3">
      <c r="B97" s="1">
        <v>230</v>
      </c>
      <c r="C97" s="1">
        <v>185</v>
      </c>
      <c r="D97" s="1">
        <v>80</v>
      </c>
      <c r="E97" s="1">
        <v>90</v>
      </c>
      <c r="F97" s="1">
        <v>0</v>
      </c>
      <c r="G97" s="1">
        <v>0</v>
      </c>
    </row>
    <row r="98" spans="1:7" x14ac:dyDescent="0.3">
      <c r="B98" s="1">
        <v>250</v>
      </c>
      <c r="C98" s="1">
        <v>235</v>
      </c>
      <c r="D98" s="1">
        <v>50</v>
      </c>
      <c r="E98" s="1">
        <v>60</v>
      </c>
      <c r="F98" s="1">
        <v>0</v>
      </c>
      <c r="G98" s="1">
        <v>0</v>
      </c>
    </row>
    <row r="99" spans="1:7" x14ac:dyDescent="0.3">
      <c r="B99" s="1">
        <v>260</v>
      </c>
      <c r="C99" s="1">
        <v>235</v>
      </c>
      <c r="D99" s="1">
        <v>60</v>
      </c>
      <c r="E99" s="1">
        <v>70</v>
      </c>
      <c r="F99" s="1">
        <v>0</v>
      </c>
      <c r="G99" s="1">
        <v>0</v>
      </c>
    </row>
    <row r="100" spans="1:7" x14ac:dyDescent="0.3">
      <c r="B100" s="1">
        <v>270</v>
      </c>
      <c r="C100" s="1">
        <v>235</v>
      </c>
      <c r="D100" s="1">
        <v>70</v>
      </c>
      <c r="E100" s="1">
        <v>80</v>
      </c>
      <c r="F100" s="1">
        <v>0</v>
      </c>
      <c r="G100" s="1">
        <v>0</v>
      </c>
    </row>
    <row r="101" spans="1:7" x14ac:dyDescent="0.3">
      <c r="B101" s="1">
        <v>280</v>
      </c>
      <c r="C101" s="1">
        <v>235</v>
      </c>
      <c r="D101" s="1">
        <v>80</v>
      </c>
      <c r="E101" s="1">
        <v>90</v>
      </c>
      <c r="F101" s="1">
        <v>0</v>
      </c>
      <c r="G101" s="1">
        <v>0</v>
      </c>
    </row>
    <row r="102" spans="1:7" x14ac:dyDescent="0.3">
      <c r="B102" s="5">
        <v>12</v>
      </c>
      <c r="C102" s="6">
        <f>INDEX(C79:C101,$B$102)</f>
        <v>135</v>
      </c>
      <c r="D102" s="6">
        <f>INDEX(D79:D101,$B$102)</f>
        <v>60</v>
      </c>
      <c r="E102" s="6">
        <f>INDEX(E79:E101,$B$102)</f>
        <v>70</v>
      </c>
      <c r="F102" s="6">
        <f>INDEX(F79:F101,$B$102)</f>
        <v>0</v>
      </c>
      <c r="G102" s="6">
        <f>INDEX(G79:G101,$B$102)</f>
        <v>0</v>
      </c>
    </row>
    <row r="103" spans="1:7" x14ac:dyDescent="0.3">
      <c r="B103" s="6">
        <f>INDEX(B79:B101,$B$102)/1000</f>
        <v>0.16</v>
      </c>
      <c r="D103" s="31">
        <f>IF(E70=0,0,D102)</f>
        <v>60</v>
      </c>
      <c r="E103" s="31">
        <f>IF(E70=0,0,E102)</f>
        <v>70</v>
      </c>
      <c r="F103" s="31">
        <f>IF(E70=0,0,F102)</f>
        <v>0</v>
      </c>
      <c r="G103" s="31">
        <f>IF(E70=0,0,G102)</f>
        <v>0</v>
      </c>
    </row>
    <row r="104" spans="1:7" x14ac:dyDescent="0.3">
      <c r="C104" s="32">
        <f>IF(F70=0,0,C102)</f>
        <v>135</v>
      </c>
      <c r="D104" s="32">
        <f>INDEX(D103:G103,,E70)</f>
        <v>60</v>
      </c>
    </row>
    <row r="107" spans="1:7" x14ac:dyDescent="0.3">
      <c r="A107" s="4">
        <v>9</v>
      </c>
      <c r="B107" s="2" t="s">
        <v>139</v>
      </c>
    </row>
    <row r="108" spans="1:7" x14ac:dyDescent="0.3">
      <c r="B108" s="2" t="s">
        <v>140</v>
      </c>
    </row>
    <row r="109" spans="1:7" x14ac:dyDescent="0.3">
      <c r="B109" s="2" t="s">
        <v>141</v>
      </c>
    </row>
    <row r="110" spans="1:7" x14ac:dyDescent="0.3">
      <c r="B110" s="2" t="s">
        <v>186</v>
      </c>
    </row>
    <row r="111" spans="1:7" x14ac:dyDescent="0.3">
      <c r="B111" s="2" t="s">
        <v>142</v>
      </c>
    </row>
    <row r="112" spans="1:7" x14ac:dyDescent="0.3">
      <c r="B112" s="5">
        <v>4</v>
      </c>
      <c r="C112" s="1" t="str">
        <f>INDEX(B107:B111,B112)</f>
        <v>Теплоізоляційна плита TermPIR</v>
      </c>
    </row>
    <row r="115" spans="1:8" x14ac:dyDescent="0.3">
      <c r="A115" s="4">
        <v>10</v>
      </c>
      <c r="B115" s="32" t="b">
        <f>IF(B148=4,FALSE,TRUE)</f>
        <v>0</v>
      </c>
    </row>
    <row r="116" spans="1:8" x14ac:dyDescent="0.3">
      <c r="A116" s="4"/>
    </row>
    <row r="117" spans="1:8" x14ac:dyDescent="0.3">
      <c r="A117" s="4"/>
      <c r="B117" s="1" t="s">
        <v>143</v>
      </c>
      <c r="C117" s="1" t="s">
        <v>113</v>
      </c>
      <c r="D117" s="1" t="s">
        <v>115</v>
      </c>
      <c r="E117" s="1" t="s">
        <v>116</v>
      </c>
      <c r="F117" s="1" t="s">
        <v>115</v>
      </c>
    </row>
    <row r="118" spans="1:8" x14ac:dyDescent="0.3">
      <c r="A118" s="4"/>
      <c r="B118" s="2" t="s">
        <v>110</v>
      </c>
      <c r="C118" s="1">
        <f>Дані!E37</f>
        <v>500</v>
      </c>
      <c r="D118" s="1" t="s">
        <v>34</v>
      </c>
      <c r="E118" s="1">
        <f>C118</f>
        <v>500</v>
      </c>
      <c r="F118" s="1" t="s">
        <v>34</v>
      </c>
    </row>
    <row r="119" spans="1:8" x14ac:dyDescent="0.3">
      <c r="A119" s="4"/>
      <c r="B119" s="2" t="s">
        <v>111</v>
      </c>
      <c r="C119" s="1">
        <f>MAX(Дані!E38,(Дані!E39+Дані!E40+Дані!E41+Дані!E42+Дані!E43))</f>
        <v>135</v>
      </c>
      <c r="D119" s="1" t="s">
        <v>4</v>
      </c>
      <c r="E119" s="56">
        <f>C119*C120</f>
        <v>35.1</v>
      </c>
      <c r="F119" s="56" t="s">
        <v>34</v>
      </c>
    </row>
    <row r="120" spans="1:8" x14ac:dyDescent="0.3">
      <c r="A120" s="4"/>
      <c r="B120" s="2" t="s">
        <v>144</v>
      </c>
      <c r="C120" s="1">
        <f>B103+0.1</f>
        <v>0.26</v>
      </c>
      <c r="D120" s="1" t="s">
        <v>4</v>
      </c>
      <c r="E120" s="56"/>
      <c r="F120" s="56"/>
    </row>
    <row r="121" spans="1:8" x14ac:dyDescent="0.3">
      <c r="A121" s="4"/>
      <c r="E121" s="29">
        <f>E118+E119</f>
        <v>535.1</v>
      </c>
      <c r="F121" s="29" t="s">
        <v>34</v>
      </c>
    </row>
    <row r="122" spans="1:8" x14ac:dyDescent="0.3">
      <c r="A122" s="4"/>
    </row>
    <row r="125" spans="1:8" x14ac:dyDescent="0.3">
      <c r="A125" s="4">
        <v>11</v>
      </c>
      <c r="B125" s="1" t="s">
        <v>175</v>
      </c>
      <c r="C125" s="1" t="s">
        <v>177</v>
      </c>
      <c r="D125" s="1" t="s">
        <v>178</v>
      </c>
      <c r="E125" s="1" t="s">
        <v>179</v>
      </c>
      <c r="F125" s="1" t="s">
        <v>181</v>
      </c>
      <c r="G125" s="1" t="s">
        <v>180</v>
      </c>
      <c r="H125" s="1" t="s">
        <v>184</v>
      </c>
    </row>
    <row r="126" spans="1:8" ht="31.2" x14ac:dyDescent="0.3">
      <c r="A126" s="4"/>
      <c r="B126" s="2" t="s">
        <v>169</v>
      </c>
      <c r="C126" s="1">
        <f>(1.5-0.12)*(50-0.12)</f>
        <v>68.834400000000002</v>
      </c>
      <c r="D126" s="1">
        <f>1.5*50/C126</f>
        <v>1.0895714933231058</v>
      </c>
      <c r="E126" s="1" t="s">
        <v>170</v>
      </c>
      <c r="F126" s="3">
        <f>E58*D126</f>
        <v>568.32049091733199</v>
      </c>
      <c r="G126" s="1">
        <f>F126/1.5/50*51.5+C57/2</f>
        <v>457.74673709656798</v>
      </c>
      <c r="H126" s="1" t="s">
        <v>185</v>
      </c>
    </row>
    <row r="127" spans="1:8" ht="31.2" x14ac:dyDescent="0.3">
      <c r="A127" s="4"/>
      <c r="B127" s="2" t="s">
        <v>176</v>
      </c>
      <c r="C127" s="1">
        <f>(4-0.12)*(25-0.12)</f>
        <v>96.534399999999991</v>
      </c>
      <c r="D127" s="1">
        <f>4*25/C127</f>
        <v>1.0359001557993834</v>
      </c>
      <c r="E127" s="1" t="s">
        <v>170</v>
      </c>
      <c r="F127" s="3">
        <f>E58*D127</f>
        <v>540.32552126495841</v>
      </c>
      <c r="G127" s="1">
        <f>F127/4/25*29+C57/2</f>
        <v>224.19440116683793</v>
      </c>
      <c r="H127" s="1" t="s">
        <v>185</v>
      </c>
    </row>
    <row r="128" spans="1:8" ht="31.2" x14ac:dyDescent="0.3">
      <c r="A128" s="4"/>
      <c r="B128" s="2" t="s">
        <v>215</v>
      </c>
      <c r="C128" s="1">
        <f>(1-0.1)*(13-0.1)</f>
        <v>11.610000000000001</v>
      </c>
      <c r="D128" s="1">
        <f>13/C128</f>
        <v>1.1197243755383288</v>
      </c>
      <c r="E128" s="1" t="s">
        <v>183</v>
      </c>
      <c r="F128" s="1">
        <f>E58*D128</f>
        <v>584.04823428079237</v>
      </c>
      <c r="G128" s="1">
        <f>E58*0.3</f>
        <v>156.47999999999999</v>
      </c>
      <c r="H128" s="1" t="s">
        <v>20</v>
      </c>
    </row>
    <row r="129" spans="1:11" x14ac:dyDescent="0.3">
      <c r="A129" s="4"/>
      <c r="B129" s="1">
        <v>3</v>
      </c>
      <c r="E129" s="1" t="str">
        <f>INDEX(E126:E128,B129)</f>
        <v>Бітумний праймер, кг(л)</v>
      </c>
      <c r="F129" s="1">
        <f>INDEX(F126:F128,B129)</f>
        <v>584.04823428079237</v>
      </c>
      <c r="G129" s="1">
        <f>INDEX(G126:G128,B129)</f>
        <v>156.47999999999999</v>
      </c>
      <c r="H129" s="1" t="str">
        <f>INDEX(H126:H128,B129)</f>
        <v>кг</v>
      </c>
    </row>
    <row r="132" spans="1:11" x14ac:dyDescent="0.3">
      <c r="A132" s="4">
        <v>12</v>
      </c>
      <c r="B132" s="1" t="s">
        <v>190</v>
      </c>
      <c r="C132" s="1" t="s">
        <v>177</v>
      </c>
    </row>
    <row r="133" spans="1:11" ht="31.2" x14ac:dyDescent="0.3">
      <c r="A133" s="4"/>
      <c r="B133" s="1" t="s">
        <v>192</v>
      </c>
      <c r="C133" s="1">
        <v>300</v>
      </c>
    </row>
    <row r="134" spans="1:11" ht="31.2" x14ac:dyDescent="0.3">
      <c r="A134" s="4"/>
      <c r="B134" s="1" t="s">
        <v>191</v>
      </c>
      <c r="C134" s="1">
        <f>IF(G70=1,50,100)</f>
        <v>50</v>
      </c>
      <c r="D134" s="1" t="s">
        <v>195</v>
      </c>
    </row>
    <row r="135" spans="1:11" ht="31.2" x14ac:dyDescent="0.3">
      <c r="A135" s="4"/>
      <c r="B135" s="1" t="s">
        <v>193</v>
      </c>
      <c r="C135" s="1">
        <v>300</v>
      </c>
    </row>
    <row r="136" spans="1:11" x14ac:dyDescent="0.3">
      <c r="A136" s="4"/>
      <c r="B136" s="1">
        <v>1</v>
      </c>
      <c r="C136" s="1">
        <f>INDEX(C133:C135,B136)</f>
        <v>300</v>
      </c>
    </row>
    <row r="137" spans="1:11" ht="31.2" x14ac:dyDescent="0.3">
      <c r="A137" s="4"/>
      <c r="B137" s="1" t="str">
        <f>INDEX(B133:B135,B136)</f>
        <v xml:space="preserve">Покрівельна воронка утеплена (вертикальна) SitaTrendy DN 100 з ПВХ-фартухом та системою обігріву </v>
      </c>
    </row>
    <row r="140" spans="1:11" x14ac:dyDescent="0.3">
      <c r="A140" s="4">
        <v>13</v>
      </c>
      <c r="B140" s="1" t="s">
        <v>196</v>
      </c>
    </row>
    <row r="141" spans="1:11" x14ac:dyDescent="0.3">
      <c r="A141" s="4"/>
      <c r="B141" s="1">
        <f>_xlfn.CEILING.MATH((IF(B115=FALSE,Дані!E37/75,0)),1)</f>
        <v>7</v>
      </c>
    </row>
    <row r="143" spans="1:11" ht="31.2" x14ac:dyDescent="0.3">
      <c r="B143" s="1" t="s">
        <v>200</v>
      </c>
      <c r="E143" s="1" t="s">
        <v>209</v>
      </c>
      <c r="F143" s="1" t="s">
        <v>210</v>
      </c>
      <c r="G143" s="1" t="s">
        <v>208</v>
      </c>
      <c r="H143" s="1" t="s">
        <v>214</v>
      </c>
      <c r="J143" s="1" t="s">
        <v>212</v>
      </c>
      <c r="K143" s="1" t="s">
        <v>213</v>
      </c>
    </row>
    <row r="144" spans="1:11" ht="187.2" x14ac:dyDescent="0.3">
      <c r="A144" s="4">
        <v>14</v>
      </c>
      <c r="B144" s="2" t="s">
        <v>202</v>
      </c>
      <c r="C144" s="1" t="s">
        <v>145</v>
      </c>
      <c r="D144" s="1" t="s">
        <v>146</v>
      </c>
      <c r="E144" s="1">
        <f>40/((2-0.2)*(20-0.2))</f>
        <v>1.122334455667789</v>
      </c>
      <c r="F144" s="1">
        <f>5.2*150/5.05/149.85</f>
        <v>1.0307337040010309</v>
      </c>
      <c r="G144" s="1">
        <f>E118+E119</f>
        <v>535.1</v>
      </c>
      <c r="H144" s="1">
        <f>2*(G144*E144/40*(20+2)-C119/2)</f>
        <v>525.61728395061732</v>
      </c>
      <c r="I144" s="1" t="s">
        <v>211</v>
      </c>
      <c r="J144" s="1">
        <f>G144*E144</f>
        <v>600.56116722783395</v>
      </c>
      <c r="K144" s="1">
        <f>G144*F144</f>
        <v>551.5456050109517</v>
      </c>
    </row>
    <row r="145" spans="1:11" ht="62.4" x14ac:dyDescent="0.3">
      <c r="A145" s="4"/>
      <c r="B145" s="2" t="s">
        <v>203</v>
      </c>
      <c r="C145" s="1" t="s">
        <v>205</v>
      </c>
      <c r="D145" s="1" t="s">
        <v>146</v>
      </c>
      <c r="E145" s="1">
        <f>2.5*1.2/(2.5-0.1)/(1.2-0.1)</f>
        <v>1.1363636363636365</v>
      </c>
      <c r="F145" s="1">
        <f>5.2*150/5.05/149.85</f>
        <v>1.0307337040010309</v>
      </c>
      <c r="G145" s="1">
        <f>E118</f>
        <v>500</v>
      </c>
      <c r="H145" s="1">
        <v>0</v>
      </c>
      <c r="I145" s="1" t="s">
        <v>207</v>
      </c>
      <c r="J145" s="1">
        <f>G145*E145</f>
        <v>568.18181818181824</v>
      </c>
      <c r="K145" s="1">
        <f>G145*F145</f>
        <v>515.36685200051545</v>
      </c>
    </row>
    <row r="146" spans="1:11" ht="187.2" x14ac:dyDescent="0.3">
      <c r="A146" s="4"/>
      <c r="B146" s="2" t="s">
        <v>204</v>
      </c>
      <c r="C146" s="1" t="s">
        <v>206</v>
      </c>
      <c r="D146" s="1" t="s">
        <v>207</v>
      </c>
      <c r="E146" s="1">
        <f>2*12.5/(2-0.2)/(12.5-0.2)</f>
        <v>1.1291779584462511</v>
      </c>
      <c r="F146" s="1">
        <v>0</v>
      </c>
      <c r="G146" s="1">
        <f>E118+E119</f>
        <v>535.1</v>
      </c>
      <c r="H146" s="1">
        <f>2*(E146*G146/25*(12.5+2)-C119/2)</f>
        <v>565.89882565492326</v>
      </c>
      <c r="I146" s="1" t="s">
        <v>211</v>
      </c>
      <c r="J146" s="1">
        <f>G146*E146</f>
        <v>604.22312556458905</v>
      </c>
      <c r="K146" s="1">
        <v>0</v>
      </c>
    </row>
    <row r="147" spans="1:11" x14ac:dyDescent="0.3">
      <c r="A147" s="4"/>
      <c r="B147" s="2" t="s">
        <v>201</v>
      </c>
      <c r="C147" s="1" t="s">
        <v>207</v>
      </c>
      <c r="D147" s="1" t="s">
        <v>207</v>
      </c>
      <c r="E147" s="1">
        <v>0</v>
      </c>
      <c r="F147" s="1">
        <v>0</v>
      </c>
      <c r="G147" s="1">
        <v>0</v>
      </c>
      <c r="H147" s="1">
        <v>0</v>
      </c>
      <c r="I147" s="1" t="s">
        <v>207</v>
      </c>
      <c r="J147" s="1">
        <v>0</v>
      </c>
      <c r="K147" s="1">
        <v>0</v>
      </c>
    </row>
    <row r="148" spans="1:11" s="45" customFormat="1" x14ac:dyDescent="0.3">
      <c r="B148" s="45">
        <v>4</v>
      </c>
      <c r="C148" s="45" t="str">
        <f>INDEX(C144:C147,B148)</f>
        <v xml:space="preserve"> -</v>
      </c>
      <c r="D148" s="45" t="str">
        <f>INDEX(D144:D147,B148)</f>
        <v xml:space="preserve"> -</v>
      </c>
      <c r="E148" s="45">
        <f>INDEX(E144:E147,B148)</f>
        <v>0</v>
      </c>
      <c r="F148" s="45">
        <f>INDEX(F144:F147,B148)</f>
        <v>0</v>
      </c>
      <c r="G148" s="45">
        <f>INDEX(G144:G147,B148)</f>
        <v>0</v>
      </c>
      <c r="H148" s="45">
        <f>INDEX(H144:H147,B148)</f>
        <v>0</v>
      </c>
      <c r="I148" s="45" t="str">
        <f>INDEX(I144:I147,B148)</f>
        <v xml:space="preserve"> -</v>
      </c>
      <c r="J148" s="45">
        <f>INDEX(J144:J147,B148)</f>
        <v>0</v>
      </c>
      <c r="K148" s="45">
        <f>INDEX(K144:K147,B148)</f>
        <v>0</v>
      </c>
    </row>
    <row r="149" spans="1:11" x14ac:dyDescent="0.3">
      <c r="A149" s="4"/>
    </row>
    <row r="150" spans="1:11" x14ac:dyDescent="0.3">
      <c r="A150" s="4"/>
    </row>
  </sheetData>
  <sheetProtection selectLockedCells="1"/>
  <mergeCells count="8">
    <mergeCell ref="E119:E120"/>
    <mergeCell ref="F119:F120"/>
    <mergeCell ref="D35:D39"/>
    <mergeCell ref="F40:F44"/>
    <mergeCell ref="B35:B39"/>
    <mergeCell ref="B40:B44"/>
    <mergeCell ref="D40:D44"/>
    <mergeCell ref="E40:E44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3:H117"/>
  <sheetViews>
    <sheetView zoomScale="85" zoomScaleNormal="85" workbookViewId="0">
      <selection activeCell="C36" sqref="C36"/>
    </sheetView>
  </sheetViews>
  <sheetFormatPr defaultColWidth="9.109375" defaultRowHeight="15.6" x14ac:dyDescent="0.3"/>
  <cols>
    <col min="1" max="1" width="9.109375" style="1"/>
    <col min="2" max="2" width="64.33203125" style="1" bestFit="1" customWidth="1"/>
    <col min="3" max="3" width="38" style="1" customWidth="1"/>
    <col min="4" max="4" width="30.5546875" style="1" customWidth="1"/>
    <col min="5" max="5" width="26.33203125" style="1" bestFit="1" customWidth="1"/>
    <col min="6" max="6" width="63.88671875" style="1" bestFit="1" customWidth="1"/>
    <col min="7" max="7" width="22.44140625" style="1" customWidth="1"/>
    <col min="8" max="16384" width="9.109375" style="1"/>
  </cols>
  <sheetData>
    <row r="3" spans="1:8" ht="31.2" x14ac:dyDescent="0.3">
      <c r="B3" s="1" t="s">
        <v>31</v>
      </c>
      <c r="C3" s="1" t="s">
        <v>7</v>
      </c>
      <c r="D3" s="1" t="s">
        <v>8</v>
      </c>
      <c r="E3" s="1" t="s">
        <v>9</v>
      </c>
      <c r="F3" s="1" t="s">
        <v>74</v>
      </c>
      <c r="G3" s="1" t="s">
        <v>75</v>
      </c>
    </row>
    <row r="4" spans="1:8" ht="31.2" x14ac:dyDescent="0.3">
      <c r="A4" s="4">
        <v>1</v>
      </c>
      <c r="B4" s="2" t="s">
        <v>63</v>
      </c>
      <c r="C4" s="1">
        <f>2.1*25</f>
        <v>52.5</v>
      </c>
      <c r="D4" s="3">
        <f>1.98*24.88</f>
        <v>49.2624</v>
      </c>
      <c r="E4" s="3">
        <f>2.02*24.92</f>
        <v>50.338400000000007</v>
      </c>
      <c r="F4" s="1" t="s">
        <v>56</v>
      </c>
      <c r="G4" s="3">
        <f>Дані!$E$37*0.006+$C$32/100*0.6</f>
        <v>3.7800000000000002</v>
      </c>
      <c r="H4" s="1">
        <v>0</v>
      </c>
    </row>
    <row r="5" spans="1:8" ht="31.2" x14ac:dyDescent="0.3">
      <c r="A5" s="4"/>
      <c r="B5" s="2" t="s">
        <v>64</v>
      </c>
      <c r="C5" s="1">
        <f>2.1*20</f>
        <v>42</v>
      </c>
      <c r="D5" s="3">
        <f>1.98*19.88</f>
        <v>39.362400000000001</v>
      </c>
      <c r="E5" s="3">
        <f>2.02*19.92</f>
        <v>40.238400000000006</v>
      </c>
      <c r="F5" s="1" t="s">
        <v>56</v>
      </c>
      <c r="G5" s="3">
        <f>Дані!$E$37*0.006+$C$32/100*0.6</f>
        <v>3.7800000000000002</v>
      </c>
      <c r="H5" s="1">
        <v>0</v>
      </c>
    </row>
    <row r="6" spans="1:8" x14ac:dyDescent="0.3">
      <c r="A6" s="4"/>
      <c r="B6" s="2" t="s">
        <v>65</v>
      </c>
      <c r="C6" s="1">
        <f>2.1*25</f>
        <v>52.5</v>
      </c>
      <c r="D6" s="3">
        <f>1.98*24.88</f>
        <v>49.2624</v>
      </c>
      <c r="E6" s="3">
        <f>2.02*24.92</f>
        <v>50.338400000000007</v>
      </c>
      <c r="F6" s="1">
        <v>0</v>
      </c>
      <c r="G6" s="1">
        <v>0</v>
      </c>
      <c r="H6" s="3">
        <f>Дані!$E$37*0.006+$C$32/100*0.6</f>
        <v>3.7800000000000002</v>
      </c>
    </row>
    <row r="7" spans="1:8" ht="31.2" x14ac:dyDescent="0.3">
      <c r="A7" s="4"/>
      <c r="B7" s="2" t="s">
        <v>29</v>
      </c>
      <c r="C7" s="1">
        <f>2*20</f>
        <v>40</v>
      </c>
      <c r="D7" s="3">
        <f>1.88*19.88</f>
        <v>37.374399999999994</v>
      </c>
      <c r="E7" s="3">
        <f>1.92*19.92</f>
        <v>38.246400000000001</v>
      </c>
      <c r="F7" s="1" t="s">
        <v>56</v>
      </c>
      <c r="G7" s="3">
        <f>Дані!$E$37*0.006+$C$32/100*0.6</f>
        <v>3.7800000000000002</v>
      </c>
      <c r="H7" s="1">
        <v>0</v>
      </c>
    </row>
    <row r="8" spans="1:8" ht="31.2" x14ac:dyDescent="0.3">
      <c r="A8" s="4"/>
      <c r="B8" s="2" t="s">
        <v>30</v>
      </c>
      <c r="C8" s="1">
        <f>2*20</f>
        <v>40</v>
      </c>
      <c r="D8" s="3">
        <f>1.88*19.88</f>
        <v>37.374399999999994</v>
      </c>
      <c r="E8" s="3">
        <f>1.92*19.92</f>
        <v>38.246400000000001</v>
      </c>
      <c r="F8" s="1" t="s">
        <v>56</v>
      </c>
      <c r="G8" s="3">
        <f>Дані!$E$37*0.006+$C$32/100*0.6</f>
        <v>3.7800000000000002</v>
      </c>
      <c r="H8" s="1">
        <v>0</v>
      </c>
    </row>
    <row r="9" spans="1:8" ht="31.2" x14ac:dyDescent="0.3">
      <c r="B9" s="5">
        <v>1</v>
      </c>
      <c r="C9" s="6">
        <f t="shared" ref="C9:H9" si="0">INDEX(C4:C8,$B$9)</f>
        <v>52.5</v>
      </c>
      <c r="D9" s="29">
        <f t="shared" si="0"/>
        <v>49.2624</v>
      </c>
      <c r="E9" s="29">
        <f t="shared" si="0"/>
        <v>50.338400000000007</v>
      </c>
      <c r="F9" s="29" t="str">
        <f t="shared" si="0"/>
        <v>Неармированная ПВХ-мембрана для устройства примыканий VINITEX SA 1.2 (2,1x20м)</v>
      </c>
      <c r="G9" s="29">
        <f t="shared" si="0"/>
        <v>3.7800000000000002</v>
      </c>
      <c r="H9" s="29">
        <f t="shared" si="0"/>
        <v>0</v>
      </c>
    </row>
    <row r="10" spans="1:8" x14ac:dyDescent="0.3">
      <c r="B10" s="6" t="str">
        <f>INDEX(B4:B8,$B$9)</f>
        <v>Vinitex MP 1.2 (2,1x25м)</v>
      </c>
    </row>
    <row r="12" spans="1:8" x14ac:dyDescent="0.3">
      <c r="A12" s="4">
        <v>2</v>
      </c>
      <c r="B12" s="2" t="s">
        <v>5</v>
      </c>
      <c r="C12" s="3">
        <f>D9</f>
        <v>49.2624</v>
      </c>
    </row>
    <row r="13" spans="1:8" x14ac:dyDescent="0.3">
      <c r="B13" s="2" t="s">
        <v>6</v>
      </c>
      <c r="C13" s="3">
        <f>E9</f>
        <v>50.338400000000007</v>
      </c>
    </row>
    <row r="14" spans="1:8" x14ac:dyDescent="0.3">
      <c r="B14" s="5">
        <v>1</v>
      </c>
      <c r="C14" s="29">
        <f>INDEX(C12:C13,B14)</f>
        <v>49.2624</v>
      </c>
    </row>
    <row r="17" spans="1:6" x14ac:dyDescent="0.3">
      <c r="A17" s="4">
        <v>3</v>
      </c>
      <c r="B17" s="2" t="s">
        <v>12</v>
      </c>
    </row>
    <row r="18" spans="1:6" x14ac:dyDescent="0.3">
      <c r="B18" s="2" t="s">
        <v>10</v>
      </c>
      <c r="C18" s="1">
        <v>0</v>
      </c>
    </row>
    <row r="19" spans="1:6" x14ac:dyDescent="0.3">
      <c r="B19" s="2" t="s">
        <v>11</v>
      </c>
      <c r="C19" s="1">
        <v>1</v>
      </c>
    </row>
    <row r="20" spans="1:6" x14ac:dyDescent="0.3">
      <c r="B20" s="5">
        <v>1</v>
      </c>
      <c r="C20" s="6">
        <f>INDEX(C18:C19,B20)</f>
        <v>0</v>
      </c>
    </row>
    <row r="23" spans="1:6" x14ac:dyDescent="0.3">
      <c r="A23" s="4">
        <v>4</v>
      </c>
      <c r="B23" s="2" t="s">
        <v>13</v>
      </c>
    </row>
    <row r="24" spans="1:6" x14ac:dyDescent="0.3">
      <c r="B24" s="2" t="s">
        <v>10</v>
      </c>
      <c r="C24" s="1">
        <v>0</v>
      </c>
    </row>
    <row r="25" spans="1:6" x14ac:dyDescent="0.3">
      <c r="B25" s="2" t="s">
        <v>11</v>
      </c>
      <c r="C25" s="1">
        <v>1</v>
      </c>
    </row>
    <row r="26" spans="1:6" x14ac:dyDescent="0.3">
      <c r="B26" s="2" t="s">
        <v>14</v>
      </c>
      <c r="C26" s="1">
        <v>2</v>
      </c>
    </row>
    <row r="27" spans="1:6" x14ac:dyDescent="0.3">
      <c r="B27" s="5">
        <v>2</v>
      </c>
      <c r="C27" s="6">
        <f>INDEX(C24:C26,B27)</f>
        <v>1</v>
      </c>
    </row>
    <row r="30" spans="1:6" x14ac:dyDescent="0.3">
      <c r="A30" s="4">
        <v>5</v>
      </c>
      <c r="B30" s="1" t="s">
        <v>32</v>
      </c>
      <c r="C30" s="1" t="s">
        <v>16</v>
      </c>
      <c r="D30" s="1" t="s">
        <v>33</v>
      </c>
      <c r="E30" s="1" t="s">
        <v>84</v>
      </c>
      <c r="F30" s="1" t="s">
        <v>33</v>
      </c>
    </row>
    <row r="31" spans="1:6" x14ac:dyDescent="0.3">
      <c r="B31" s="2" t="s">
        <v>0</v>
      </c>
      <c r="C31" s="3">
        <f>Дані!E37</f>
        <v>500</v>
      </c>
      <c r="D31" s="1" t="s">
        <v>34</v>
      </c>
      <c r="E31" s="3">
        <f>C31*1.15</f>
        <v>575</v>
      </c>
      <c r="F31" s="1" t="s">
        <v>34</v>
      </c>
    </row>
    <row r="32" spans="1:6" ht="31.2" x14ac:dyDescent="0.3">
      <c r="B32" s="2" t="s">
        <v>28</v>
      </c>
      <c r="C32" s="1">
        <f>Дані!E39</f>
        <v>130</v>
      </c>
      <c r="D32" s="1" t="s">
        <v>4</v>
      </c>
      <c r="E32" s="59">
        <f>C32*(C35+(C33-0.6)*C36)</f>
        <v>109.13500000000001</v>
      </c>
      <c r="F32" s="56" t="s">
        <v>34</v>
      </c>
    </row>
    <row r="33" spans="1:7" x14ac:dyDescent="0.3">
      <c r="B33" s="2" t="s">
        <v>2</v>
      </c>
      <c r="C33" s="1">
        <f>Дані!E44</f>
        <v>0.4</v>
      </c>
      <c r="D33" s="1" t="s">
        <v>4</v>
      </c>
      <c r="E33" s="59"/>
      <c r="F33" s="56"/>
    </row>
    <row r="34" spans="1:7" x14ac:dyDescent="0.3">
      <c r="E34" s="29">
        <f>E31+E32</f>
        <v>684.13499999999999</v>
      </c>
      <c r="F34" s="29" t="s">
        <v>34</v>
      </c>
    </row>
    <row r="35" spans="1:7" x14ac:dyDescent="0.3">
      <c r="B35" s="1" t="s">
        <v>85</v>
      </c>
      <c r="C35" s="43">
        <f>86.25/100</f>
        <v>0.86250000000000004</v>
      </c>
      <c r="D35" s="1" t="s">
        <v>40</v>
      </c>
      <c r="E35" s="30">
        <f>Результат2!D7/(C31+C32*C33)</f>
        <v>1.2393749999999999</v>
      </c>
      <c r="F35" s="3"/>
    </row>
    <row r="36" spans="1:7" ht="31.2" x14ac:dyDescent="0.3">
      <c r="B36" s="3" t="s">
        <v>86</v>
      </c>
      <c r="C36" s="43">
        <f>11.5/100</f>
        <v>0.115</v>
      </c>
      <c r="D36" s="3"/>
      <c r="E36" s="3"/>
    </row>
    <row r="37" spans="1:7" x14ac:dyDescent="0.3">
      <c r="D37" s="3"/>
      <c r="E37" s="3"/>
    </row>
    <row r="38" spans="1:7" x14ac:dyDescent="0.3">
      <c r="B38" s="3"/>
      <c r="D38" s="3"/>
      <c r="E38" s="3"/>
    </row>
    <row r="39" spans="1:7" x14ac:dyDescent="0.3">
      <c r="D39" s="3"/>
      <c r="E39" s="3"/>
    </row>
    <row r="41" spans="1:7" x14ac:dyDescent="0.3">
      <c r="A41" s="4">
        <v>6</v>
      </c>
      <c r="B41" s="1" t="s">
        <v>36</v>
      </c>
      <c r="C41" s="1" t="s">
        <v>16</v>
      </c>
      <c r="D41" s="1" t="s">
        <v>37</v>
      </c>
      <c r="E41" s="1" t="s">
        <v>33</v>
      </c>
      <c r="F41" s="1" t="s">
        <v>16</v>
      </c>
      <c r="G41" s="1" t="s">
        <v>33</v>
      </c>
    </row>
    <row r="42" spans="1:7" x14ac:dyDescent="0.3">
      <c r="B42" s="2" t="s">
        <v>27</v>
      </c>
      <c r="C42" s="1">
        <f>Дані!E49</f>
        <v>7</v>
      </c>
      <c r="D42" s="1">
        <v>7.0000000000000007E-2</v>
      </c>
      <c r="E42" s="1" t="s">
        <v>4</v>
      </c>
      <c r="F42" s="1">
        <f>C42*D42</f>
        <v>0.49000000000000005</v>
      </c>
      <c r="G42" s="1" t="s">
        <v>34</v>
      </c>
    </row>
    <row r="43" spans="1:7" x14ac:dyDescent="0.3">
      <c r="B43" s="2" t="s">
        <v>3</v>
      </c>
      <c r="C43" s="1">
        <f>Дані!E50</f>
        <v>9</v>
      </c>
      <c r="D43" s="1">
        <v>0.18</v>
      </c>
      <c r="E43" s="1" t="s">
        <v>4</v>
      </c>
      <c r="F43" s="1">
        <f>C43*D43</f>
        <v>1.6199999999999999</v>
      </c>
      <c r="G43" s="1" t="s">
        <v>34</v>
      </c>
    </row>
    <row r="44" spans="1:7" x14ac:dyDescent="0.3">
      <c r="B44" s="2" t="s">
        <v>38</v>
      </c>
      <c r="C44" s="6">
        <f>C42+C43</f>
        <v>16</v>
      </c>
      <c r="F44" s="29">
        <f>F42+F43</f>
        <v>2.11</v>
      </c>
      <c r="G44" s="29" t="s">
        <v>34</v>
      </c>
    </row>
    <row r="47" spans="1:7" x14ac:dyDescent="0.3">
      <c r="A47" s="4">
        <v>6</v>
      </c>
      <c r="B47" s="1" t="s">
        <v>39</v>
      </c>
      <c r="C47" s="1" t="s">
        <v>16</v>
      </c>
      <c r="D47" s="1" t="s">
        <v>33</v>
      </c>
      <c r="E47" s="1" t="s">
        <v>35</v>
      </c>
      <c r="F47" s="1" t="s">
        <v>33</v>
      </c>
    </row>
    <row r="48" spans="1:7" x14ac:dyDescent="0.3">
      <c r="B48" s="2" t="s">
        <v>0</v>
      </c>
      <c r="C48" s="1">
        <f>Дані!E37</f>
        <v>500</v>
      </c>
      <c r="D48" s="1" t="s">
        <v>34</v>
      </c>
      <c r="E48" s="1">
        <f>C48</f>
        <v>500</v>
      </c>
      <c r="F48" s="1" t="s">
        <v>34</v>
      </c>
    </row>
    <row r="49" spans="1:6" x14ac:dyDescent="0.3">
      <c r="B49" s="2" t="s">
        <v>1</v>
      </c>
      <c r="C49" s="1">
        <f>Дані!E38</f>
        <v>120</v>
      </c>
      <c r="D49" s="1" t="s">
        <v>4</v>
      </c>
      <c r="E49" s="1">
        <f>C49*0.25</f>
        <v>30</v>
      </c>
      <c r="F49" s="1" t="s">
        <v>34</v>
      </c>
    </row>
    <row r="50" spans="1:6" x14ac:dyDescent="0.3">
      <c r="E50" s="29">
        <f>E48+E49</f>
        <v>530</v>
      </c>
      <c r="F50" s="29" t="s">
        <v>34</v>
      </c>
    </row>
    <row r="51" spans="1:6" x14ac:dyDescent="0.3">
      <c r="D51" s="1" t="s">
        <v>40</v>
      </c>
      <c r="E51" s="30">
        <f>Результат!D11/Программа2!E50</f>
        <v>1.1019778005297969</v>
      </c>
    </row>
    <row r="54" spans="1:6" x14ac:dyDescent="0.3">
      <c r="A54" s="4">
        <v>7</v>
      </c>
      <c r="B54" s="1" t="s">
        <v>41</v>
      </c>
    </row>
    <row r="55" spans="1:6" x14ac:dyDescent="0.3">
      <c r="A55" s="4"/>
      <c r="B55" s="1" t="s">
        <v>45</v>
      </c>
      <c r="C55" s="1" t="s">
        <v>52</v>
      </c>
      <c r="D55" s="1" t="s">
        <v>53</v>
      </c>
    </row>
    <row r="56" spans="1:6" ht="31.2" x14ac:dyDescent="0.3">
      <c r="A56" s="4"/>
      <c r="B56" s="2" t="s">
        <v>46</v>
      </c>
      <c r="C56" s="2" t="s">
        <v>70</v>
      </c>
      <c r="D56" s="2" t="s">
        <v>61</v>
      </c>
      <c r="E56" s="1">
        <v>1</v>
      </c>
      <c r="F56" s="1">
        <v>1</v>
      </c>
    </row>
    <row r="57" spans="1:6" ht="31.2" x14ac:dyDescent="0.3">
      <c r="A57" s="4"/>
      <c r="B57" s="2" t="s">
        <v>47</v>
      </c>
      <c r="C57" s="2" t="s">
        <v>69</v>
      </c>
      <c r="D57" s="2" t="s">
        <v>61</v>
      </c>
      <c r="E57" s="1">
        <v>2</v>
      </c>
      <c r="F57" s="1">
        <v>2</v>
      </c>
    </row>
    <row r="58" spans="1:6" ht="46.8" x14ac:dyDescent="0.3">
      <c r="A58" s="4"/>
      <c r="B58" s="2" t="s">
        <v>48</v>
      </c>
      <c r="C58" s="2" t="s">
        <v>70</v>
      </c>
      <c r="D58" s="2" t="s">
        <v>44</v>
      </c>
      <c r="E58" s="1">
        <v>3</v>
      </c>
      <c r="F58" s="1">
        <v>0</v>
      </c>
    </row>
    <row r="59" spans="1:6" ht="46.8" x14ac:dyDescent="0.3">
      <c r="A59" s="4"/>
      <c r="B59" s="2" t="s">
        <v>49</v>
      </c>
      <c r="C59" s="2" t="s">
        <v>69</v>
      </c>
      <c r="D59" s="2" t="s">
        <v>44</v>
      </c>
      <c r="E59" s="1">
        <v>4</v>
      </c>
      <c r="F59" s="1">
        <v>0</v>
      </c>
    </row>
    <row r="60" spans="1:6" ht="46.8" x14ac:dyDescent="0.3">
      <c r="A60" s="4"/>
      <c r="B60" s="2" t="s">
        <v>50</v>
      </c>
      <c r="C60" s="2" t="s">
        <v>62</v>
      </c>
      <c r="D60" s="2" t="s">
        <v>44</v>
      </c>
      <c r="E60" s="1">
        <v>0</v>
      </c>
      <c r="F60" s="1">
        <v>0</v>
      </c>
    </row>
    <row r="61" spans="1:6" ht="46.8" x14ac:dyDescent="0.3">
      <c r="A61" s="4"/>
      <c r="B61" s="2" t="s">
        <v>51</v>
      </c>
      <c r="C61" s="2" t="s">
        <v>82</v>
      </c>
      <c r="D61" s="2" t="s">
        <v>44</v>
      </c>
      <c r="E61" s="1">
        <v>0</v>
      </c>
      <c r="F61" s="1">
        <v>0</v>
      </c>
    </row>
    <row r="62" spans="1:6" ht="46.8" x14ac:dyDescent="0.3">
      <c r="A62" s="4"/>
      <c r="B62" s="5">
        <v>6</v>
      </c>
      <c r="C62" s="6" t="str">
        <f>INDEX(C56:C61,$B$62)</f>
        <v>Саморез по дереву</v>
      </c>
      <c r="D62" s="6" t="str">
        <f>INDEX(D56:D61,$B$62)</f>
        <v>Тарелка дожимная для крепления изоляционных материалов</v>
      </c>
      <c r="E62" s="6">
        <f>INDEX(E56:E61,$B$62)</f>
        <v>0</v>
      </c>
      <c r="F62" s="6">
        <f>INDEX(F56:F61,$B$62)</f>
        <v>0</v>
      </c>
    </row>
    <row r="63" spans="1:6" x14ac:dyDescent="0.3">
      <c r="A63" s="4"/>
    </row>
    <row r="64" spans="1:6" x14ac:dyDescent="0.3">
      <c r="A64" s="4"/>
      <c r="B64" s="1" t="s">
        <v>54</v>
      </c>
      <c r="C64" s="1" t="s">
        <v>16</v>
      </c>
      <c r="D64" s="1" t="s">
        <v>33</v>
      </c>
    </row>
    <row r="65" spans="1:7" x14ac:dyDescent="0.3">
      <c r="A65" s="4"/>
      <c r="B65" s="2" t="s">
        <v>55</v>
      </c>
      <c r="C65" s="1">
        <f>Дані!E37*2.8</f>
        <v>1400</v>
      </c>
      <c r="D65" s="1" t="s">
        <v>25</v>
      </c>
    </row>
    <row r="66" spans="1:7" x14ac:dyDescent="0.3">
      <c r="B66" s="2" t="s">
        <v>6</v>
      </c>
      <c r="C66" s="1">
        <f>Дані!E38/0.2</f>
        <v>600</v>
      </c>
      <c r="D66" s="1" t="s">
        <v>25</v>
      </c>
    </row>
    <row r="67" spans="1:7" x14ac:dyDescent="0.3">
      <c r="C67" s="6">
        <f>INDEX(C65:C66,B14)</f>
        <v>1400</v>
      </c>
    </row>
    <row r="69" spans="1:7" x14ac:dyDescent="0.3">
      <c r="B69" s="1" t="s">
        <v>60</v>
      </c>
    </row>
    <row r="70" spans="1:7" ht="46.8" x14ac:dyDescent="0.3">
      <c r="A70" s="4">
        <v>8</v>
      </c>
      <c r="B70" s="1" t="s">
        <v>59</v>
      </c>
      <c r="C70" s="1" t="s">
        <v>43</v>
      </c>
      <c r="D70" s="1" t="s">
        <v>42</v>
      </c>
      <c r="E70" s="1" t="s">
        <v>58</v>
      </c>
      <c r="F70" s="1" t="s">
        <v>42</v>
      </c>
      <c r="G70" s="1" t="s">
        <v>58</v>
      </c>
    </row>
    <row r="71" spans="1:7" x14ac:dyDescent="0.3">
      <c r="B71" s="1">
        <v>50</v>
      </c>
      <c r="C71" s="1">
        <v>35</v>
      </c>
      <c r="D71" s="1">
        <v>50</v>
      </c>
      <c r="E71" s="1">
        <v>60</v>
      </c>
      <c r="F71" s="1">
        <v>80</v>
      </c>
      <c r="G71" s="1">
        <v>100</v>
      </c>
    </row>
    <row r="72" spans="1:7" x14ac:dyDescent="0.3">
      <c r="B72" s="1">
        <v>60</v>
      </c>
      <c r="C72" s="1">
        <v>35</v>
      </c>
      <c r="D72" s="1">
        <v>60</v>
      </c>
      <c r="E72" s="1">
        <v>70</v>
      </c>
      <c r="F72" s="1">
        <v>100</v>
      </c>
      <c r="G72" s="1">
        <v>120</v>
      </c>
    </row>
    <row r="73" spans="1:7" x14ac:dyDescent="0.3">
      <c r="B73" s="1">
        <v>70</v>
      </c>
      <c r="C73" s="1">
        <v>55</v>
      </c>
      <c r="D73" s="1">
        <v>50</v>
      </c>
      <c r="E73" s="1">
        <v>60</v>
      </c>
      <c r="F73" s="1">
        <v>100</v>
      </c>
      <c r="G73" s="1">
        <v>120</v>
      </c>
    </row>
    <row r="74" spans="1:7" x14ac:dyDescent="0.3">
      <c r="B74" s="1">
        <v>80</v>
      </c>
      <c r="C74" s="1">
        <v>55</v>
      </c>
      <c r="D74" s="1">
        <v>60</v>
      </c>
      <c r="E74" s="1">
        <v>70</v>
      </c>
      <c r="F74" s="1">
        <v>120</v>
      </c>
      <c r="G74" s="1">
        <v>140</v>
      </c>
    </row>
    <row r="75" spans="1:7" x14ac:dyDescent="0.3">
      <c r="B75" s="1">
        <v>90</v>
      </c>
      <c r="C75" s="1">
        <v>55</v>
      </c>
      <c r="D75" s="1">
        <v>70</v>
      </c>
      <c r="E75" s="1">
        <v>80</v>
      </c>
      <c r="F75" s="1">
        <v>120</v>
      </c>
      <c r="G75" s="1">
        <v>140</v>
      </c>
    </row>
    <row r="76" spans="1:7" x14ac:dyDescent="0.3">
      <c r="B76" s="1">
        <v>100</v>
      </c>
      <c r="C76" s="1">
        <v>85</v>
      </c>
      <c r="D76" s="1">
        <v>50</v>
      </c>
      <c r="E76" s="1">
        <v>60</v>
      </c>
      <c r="F76" s="1">
        <v>150</v>
      </c>
      <c r="G76" s="1">
        <v>160</v>
      </c>
    </row>
    <row r="77" spans="1:7" x14ac:dyDescent="0.3">
      <c r="B77" s="1">
        <v>110</v>
      </c>
      <c r="C77" s="1">
        <v>85</v>
      </c>
      <c r="D77" s="1">
        <v>60</v>
      </c>
      <c r="E77" s="1">
        <v>70</v>
      </c>
      <c r="F77" s="1">
        <v>150</v>
      </c>
      <c r="G77" s="1">
        <v>160</v>
      </c>
    </row>
    <row r="78" spans="1:7" x14ac:dyDescent="0.3">
      <c r="B78" s="1">
        <v>120</v>
      </c>
      <c r="C78" s="1">
        <v>105</v>
      </c>
      <c r="D78" s="1">
        <v>50</v>
      </c>
      <c r="E78" s="1">
        <v>60</v>
      </c>
      <c r="F78" s="1">
        <v>0</v>
      </c>
      <c r="G78" s="1">
        <v>0</v>
      </c>
    </row>
    <row r="79" spans="1:7" x14ac:dyDescent="0.3">
      <c r="B79" s="1">
        <v>130</v>
      </c>
      <c r="C79" s="1">
        <v>105</v>
      </c>
      <c r="D79" s="1">
        <v>60</v>
      </c>
      <c r="E79" s="1">
        <v>70</v>
      </c>
      <c r="F79" s="1">
        <v>0</v>
      </c>
      <c r="G79" s="1">
        <v>0</v>
      </c>
    </row>
    <row r="80" spans="1:7" x14ac:dyDescent="0.3">
      <c r="B80" s="1">
        <v>140</v>
      </c>
      <c r="C80" s="1">
        <v>105</v>
      </c>
      <c r="D80" s="1">
        <v>70</v>
      </c>
      <c r="E80" s="1">
        <v>80</v>
      </c>
      <c r="F80" s="1">
        <v>0</v>
      </c>
      <c r="G80" s="1">
        <v>0</v>
      </c>
    </row>
    <row r="81" spans="2:7" x14ac:dyDescent="0.3">
      <c r="B81" s="1">
        <v>150</v>
      </c>
      <c r="C81" s="1">
        <v>135</v>
      </c>
      <c r="D81" s="1">
        <v>50</v>
      </c>
      <c r="E81" s="1">
        <v>60</v>
      </c>
      <c r="F81" s="1">
        <v>0</v>
      </c>
      <c r="G81" s="1">
        <v>0</v>
      </c>
    </row>
    <row r="82" spans="2:7" x14ac:dyDescent="0.3">
      <c r="B82" s="1">
        <v>160</v>
      </c>
      <c r="C82" s="1">
        <v>135</v>
      </c>
      <c r="D82" s="1">
        <v>60</v>
      </c>
      <c r="E82" s="1">
        <v>70</v>
      </c>
      <c r="F82" s="1">
        <v>0</v>
      </c>
      <c r="G82" s="1">
        <v>0</v>
      </c>
    </row>
    <row r="83" spans="2:7" x14ac:dyDescent="0.3">
      <c r="B83" s="1">
        <v>170</v>
      </c>
      <c r="C83" s="1">
        <v>155</v>
      </c>
      <c r="D83" s="1">
        <v>50</v>
      </c>
      <c r="E83" s="1">
        <v>60</v>
      </c>
      <c r="F83" s="1">
        <v>0</v>
      </c>
      <c r="G83" s="1">
        <v>0</v>
      </c>
    </row>
    <row r="84" spans="2:7" x14ac:dyDescent="0.3">
      <c r="B84" s="1">
        <v>180</v>
      </c>
      <c r="C84" s="1">
        <v>165</v>
      </c>
      <c r="D84" s="1">
        <v>50</v>
      </c>
      <c r="E84" s="1">
        <v>60</v>
      </c>
      <c r="F84" s="1">
        <v>0</v>
      </c>
      <c r="G84" s="1">
        <v>0</v>
      </c>
    </row>
    <row r="85" spans="2:7" x14ac:dyDescent="0.3">
      <c r="B85" s="1">
        <v>190</v>
      </c>
      <c r="C85" s="1">
        <v>165</v>
      </c>
      <c r="D85" s="1">
        <v>60</v>
      </c>
      <c r="E85" s="1">
        <v>70</v>
      </c>
      <c r="F85" s="1">
        <v>0</v>
      </c>
      <c r="G85" s="1">
        <v>0</v>
      </c>
    </row>
    <row r="86" spans="2:7" x14ac:dyDescent="0.3">
      <c r="B86" s="1">
        <v>200</v>
      </c>
      <c r="C86" s="1">
        <v>185</v>
      </c>
      <c r="D86" s="1">
        <v>50</v>
      </c>
      <c r="E86" s="1">
        <v>60</v>
      </c>
      <c r="F86" s="1">
        <v>0</v>
      </c>
      <c r="G86" s="1">
        <v>0</v>
      </c>
    </row>
    <row r="87" spans="2:7" x14ac:dyDescent="0.3">
      <c r="B87" s="1">
        <v>210</v>
      </c>
      <c r="C87" s="1">
        <v>185</v>
      </c>
      <c r="D87" s="1">
        <v>60</v>
      </c>
      <c r="E87" s="1">
        <v>70</v>
      </c>
      <c r="F87" s="1">
        <v>0</v>
      </c>
      <c r="G87" s="1">
        <v>0</v>
      </c>
    </row>
    <row r="88" spans="2:7" x14ac:dyDescent="0.3">
      <c r="B88" s="1">
        <v>220</v>
      </c>
      <c r="C88" s="1">
        <v>185</v>
      </c>
      <c r="D88" s="1">
        <v>70</v>
      </c>
      <c r="E88" s="1">
        <v>80</v>
      </c>
      <c r="F88" s="1">
        <v>0</v>
      </c>
      <c r="G88" s="1">
        <v>0</v>
      </c>
    </row>
    <row r="89" spans="2:7" x14ac:dyDescent="0.3">
      <c r="B89" s="1">
        <v>230</v>
      </c>
      <c r="C89" s="1">
        <v>185</v>
      </c>
      <c r="D89" s="1">
        <v>80</v>
      </c>
      <c r="E89" s="1">
        <v>90</v>
      </c>
      <c r="F89" s="1">
        <v>0</v>
      </c>
      <c r="G89" s="1">
        <v>0</v>
      </c>
    </row>
    <row r="90" spans="2:7" x14ac:dyDescent="0.3">
      <c r="B90" s="1">
        <v>250</v>
      </c>
      <c r="C90" s="1">
        <v>235</v>
      </c>
      <c r="D90" s="1">
        <v>50</v>
      </c>
      <c r="E90" s="1">
        <v>60</v>
      </c>
      <c r="F90" s="1">
        <v>0</v>
      </c>
      <c r="G90" s="1">
        <v>0</v>
      </c>
    </row>
    <row r="91" spans="2:7" x14ac:dyDescent="0.3">
      <c r="B91" s="1">
        <v>260</v>
      </c>
      <c r="C91" s="1">
        <v>235</v>
      </c>
      <c r="D91" s="1">
        <v>60</v>
      </c>
      <c r="E91" s="1">
        <v>70</v>
      </c>
      <c r="F91" s="1">
        <v>0</v>
      </c>
      <c r="G91" s="1">
        <v>0</v>
      </c>
    </row>
    <row r="92" spans="2:7" x14ac:dyDescent="0.3">
      <c r="B92" s="1">
        <v>270</v>
      </c>
      <c r="C92" s="1">
        <v>235</v>
      </c>
      <c r="D92" s="1">
        <v>70</v>
      </c>
      <c r="E92" s="1">
        <v>80</v>
      </c>
      <c r="F92" s="1">
        <v>0</v>
      </c>
      <c r="G92" s="1">
        <v>0</v>
      </c>
    </row>
    <row r="93" spans="2:7" x14ac:dyDescent="0.3">
      <c r="B93" s="1">
        <v>280</v>
      </c>
      <c r="C93" s="1">
        <v>235</v>
      </c>
      <c r="D93" s="1">
        <v>80</v>
      </c>
      <c r="E93" s="1">
        <v>90</v>
      </c>
      <c r="F93" s="1">
        <v>0</v>
      </c>
      <c r="G93" s="1">
        <v>0</v>
      </c>
    </row>
    <row r="94" spans="2:7" x14ac:dyDescent="0.3">
      <c r="B94" s="5">
        <v>16</v>
      </c>
      <c r="C94" s="6">
        <f>INDEX(C71:C93,$B$94)</f>
        <v>185</v>
      </c>
      <c r="D94" s="6">
        <f>INDEX(D71:D93,$B$94)</f>
        <v>50</v>
      </c>
      <c r="E94" s="6">
        <f>INDEX(E71:E93,$B$94)</f>
        <v>60</v>
      </c>
      <c r="F94" s="6">
        <f>INDEX(F71:F93,$B$94)</f>
        <v>0</v>
      </c>
      <c r="G94" s="6">
        <f>INDEX(G71:G93,$B$94)</f>
        <v>0</v>
      </c>
    </row>
    <row r="95" spans="2:7" x14ac:dyDescent="0.3">
      <c r="B95" s="6">
        <f>INDEX(B71:B93,$B$94)/1000</f>
        <v>0.2</v>
      </c>
      <c r="D95" s="31">
        <f>IF(E62=0,0,D94)</f>
        <v>0</v>
      </c>
      <c r="E95" s="31">
        <f>IF(E62=0,0,E94)</f>
        <v>0</v>
      </c>
      <c r="F95" s="31">
        <f>IF(E62=0,0,F94)</f>
        <v>0</v>
      </c>
      <c r="G95" s="31">
        <f>IF(E62=0,0,G94)</f>
        <v>0</v>
      </c>
    </row>
    <row r="96" spans="2:7" x14ac:dyDescent="0.3">
      <c r="C96" s="32">
        <f>IF(F62=0,0,C94)</f>
        <v>0</v>
      </c>
      <c r="D96" s="32">
        <f>INDEX(D95:G95,,E62)</f>
        <v>0</v>
      </c>
    </row>
    <row r="99" spans="1:6" x14ac:dyDescent="0.3">
      <c r="A99" s="4">
        <v>9</v>
      </c>
      <c r="B99" s="2" t="s">
        <v>71</v>
      </c>
    </row>
    <row r="100" spans="1:6" x14ac:dyDescent="0.3">
      <c r="B100" s="2" t="s">
        <v>72</v>
      </c>
    </row>
    <row r="101" spans="1:6" x14ac:dyDescent="0.3">
      <c r="B101" s="2" t="s">
        <v>83</v>
      </c>
    </row>
    <row r="102" spans="1:6" ht="31.2" x14ac:dyDescent="0.3">
      <c r="B102" s="2" t="s">
        <v>73</v>
      </c>
    </row>
    <row r="103" spans="1:6" ht="31.2" x14ac:dyDescent="0.3">
      <c r="B103" s="5">
        <v>3</v>
      </c>
      <c r="C103" s="1" t="str">
        <f>INDEX(B99:B102,B103)</f>
        <v>Теплоизоляция из каменной ваты Rockmin</v>
      </c>
    </row>
    <row r="106" spans="1:6" x14ac:dyDescent="0.3">
      <c r="A106" s="4">
        <v>10</v>
      </c>
      <c r="B106" s="32" t="b">
        <f>Программа!B115</f>
        <v>0</v>
      </c>
    </row>
    <row r="107" spans="1:6" x14ac:dyDescent="0.3">
      <c r="A107" s="4"/>
    </row>
    <row r="108" spans="1:6" x14ac:dyDescent="0.3">
      <c r="A108" s="4"/>
      <c r="B108" s="1" t="s">
        <v>79</v>
      </c>
      <c r="C108" s="1" t="s">
        <v>16</v>
      </c>
      <c r="D108" s="1" t="s">
        <v>33</v>
      </c>
      <c r="E108" s="1" t="s">
        <v>35</v>
      </c>
      <c r="F108" s="1" t="s">
        <v>33</v>
      </c>
    </row>
    <row r="109" spans="1:6" x14ac:dyDescent="0.3">
      <c r="A109" s="4"/>
      <c r="B109" s="2" t="s">
        <v>0</v>
      </c>
      <c r="C109" s="42">
        <f>Дані!E37</f>
        <v>500</v>
      </c>
      <c r="D109" s="1" t="s">
        <v>34</v>
      </c>
      <c r="E109" s="1">
        <f>C109</f>
        <v>500</v>
      </c>
      <c r="F109" s="1" t="s">
        <v>34</v>
      </c>
    </row>
    <row r="110" spans="1:6" ht="31.2" x14ac:dyDescent="0.3">
      <c r="A110" s="4"/>
      <c r="B110" s="2" t="s">
        <v>28</v>
      </c>
      <c r="C110" s="1">
        <f>Дані!E39</f>
        <v>130</v>
      </c>
      <c r="D110" s="1" t="s">
        <v>4</v>
      </c>
      <c r="E110" s="56">
        <f>C110*C111</f>
        <v>39.000000000000007</v>
      </c>
      <c r="F110" s="56" t="s">
        <v>34</v>
      </c>
    </row>
    <row r="111" spans="1:6" x14ac:dyDescent="0.3">
      <c r="A111" s="4"/>
      <c r="B111" s="2" t="s">
        <v>80</v>
      </c>
      <c r="C111" s="1">
        <f>B95+0.1</f>
        <v>0.30000000000000004</v>
      </c>
      <c r="D111" s="1" t="s">
        <v>4</v>
      </c>
      <c r="E111" s="56"/>
      <c r="F111" s="56"/>
    </row>
    <row r="112" spans="1:6" x14ac:dyDescent="0.3">
      <c r="A112" s="4"/>
      <c r="E112" s="29">
        <f>E109+E110</f>
        <v>539</v>
      </c>
      <c r="F112" s="29" t="s">
        <v>34</v>
      </c>
    </row>
    <row r="113" spans="1:7" x14ac:dyDescent="0.3">
      <c r="A113" s="4"/>
    </row>
    <row r="114" spans="1:7" x14ac:dyDescent="0.3">
      <c r="A114" s="4"/>
    </row>
    <row r="115" spans="1:7" x14ac:dyDescent="0.3">
      <c r="A115" s="4"/>
      <c r="C115" s="1" t="s">
        <v>7</v>
      </c>
      <c r="D115" s="1" t="s">
        <v>78</v>
      </c>
      <c r="E115" s="1" t="s">
        <v>16</v>
      </c>
      <c r="F115" s="1" t="s">
        <v>33</v>
      </c>
      <c r="G115" s="1" t="s">
        <v>40</v>
      </c>
    </row>
    <row r="116" spans="1:7" x14ac:dyDescent="0.3">
      <c r="B116" s="2" t="s">
        <v>76</v>
      </c>
      <c r="C116" s="1">
        <f>2*20</f>
        <v>40</v>
      </c>
      <c r="D116" s="1">
        <f>1.8*19.8</f>
        <v>35.64</v>
      </c>
      <c r="E116" s="33">
        <f>E112/D116*C116</f>
        <v>604.93827160493834</v>
      </c>
      <c r="F116" s="29" t="s">
        <v>34</v>
      </c>
      <c r="G116" s="30">
        <f>E116/E112</f>
        <v>1.1223344556677892</v>
      </c>
    </row>
    <row r="117" spans="1:7" x14ac:dyDescent="0.3">
      <c r="B117" s="2" t="s">
        <v>77</v>
      </c>
      <c r="C117" s="1">
        <f>5.2*150</f>
        <v>780</v>
      </c>
      <c r="D117" s="3">
        <f>5.05*149.85</f>
        <v>756.74249999999995</v>
      </c>
      <c r="E117" s="33">
        <f>E112/D117*C117</f>
        <v>555.56546645655555</v>
      </c>
      <c r="F117" s="29" t="s">
        <v>34</v>
      </c>
      <c r="G117" s="30">
        <f>E117/E112</f>
        <v>1.0307337040010307</v>
      </c>
    </row>
  </sheetData>
  <sheetProtection selectLockedCells="1"/>
  <mergeCells count="4">
    <mergeCell ref="E32:E33"/>
    <mergeCell ref="F32:F33"/>
    <mergeCell ref="E110:E111"/>
    <mergeCell ref="F110:F111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>
    <tabColor rgb="FF00B050"/>
  </sheetPr>
  <dimension ref="B4:E27"/>
  <sheetViews>
    <sheetView topLeftCell="A7" zoomScale="115" zoomScaleNormal="115" workbookViewId="0">
      <selection activeCell="H9" sqref="H9"/>
    </sheetView>
  </sheetViews>
  <sheetFormatPr defaultColWidth="9.109375" defaultRowHeight="16.2" x14ac:dyDescent="0.3"/>
  <cols>
    <col min="1" max="1" width="9.109375" style="34"/>
    <col min="2" max="2" width="61.109375" style="34" bestFit="1" customWidth="1"/>
    <col min="3" max="3" width="20.5546875" style="34" customWidth="1"/>
    <col min="4" max="4" width="14" style="34" customWidth="1"/>
    <col min="5" max="5" width="12.6640625" style="34" customWidth="1"/>
    <col min="6" max="16384" width="9.109375" style="34"/>
  </cols>
  <sheetData>
    <row r="4" spans="2:5" x14ac:dyDescent="0.3">
      <c r="B4" s="39">
        <f ca="1">TODAY()</f>
        <v>45457</v>
      </c>
    </row>
    <row r="5" spans="2:5" x14ac:dyDescent="0.3">
      <c r="B5" s="65" t="s">
        <v>155</v>
      </c>
      <c r="C5" s="65"/>
      <c r="D5" s="65"/>
      <c r="E5" s="65"/>
    </row>
    <row r="6" spans="2:5" ht="32.4" x14ac:dyDescent="0.3">
      <c r="B6" s="68" t="s">
        <v>154</v>
      </c>
      <c r="C6" s="69"/>
      <c r="D6" s="35" t="s">
        <v>113</v>
      </c>
      <c r="E6" s="35" t="s">
        <v>153</v>
      </c>
    </row>
    <row r="7" spans="2:5" ht="16.5" customHeight="1" x14ac:dyDescent="0.3">
      <c r="B7" s="62" t="str">
        <f>Программа!B13</f>
        <v xml:space="preserve">Покрівельна армована ПВХ-мембрана Soprema Flagon® SR 1,2 мм (2.10х25 м) </v>
      </c>
      <c r="C7" s="63"/>
      <c r="D7" s="36">
        <f>(Программа!E45/Программа!C17*Программа!C12+Программа!H12)</f>
        <v>606.60869141576541</v>
      </c>
      <c r="E7" s="35" t="s">
        <v>18</v>
      </c>
    </row>
    <row r="8" spans="2:5" ht="18.75" customHeight="1" x14ac:dyDescent="0.3">
      <c r="B8" s="66" t="str">
        <f>Программа!F12</f>
        <v xml:space="preserve">Покрівельна неармована ПВХ-мембрана Soprema Flagon® S 1,5 мм (1.05х20 м) </v>
      </c>
      <c r="C8" s="67"/>
      <c r="D8" s="36">
        <f>Программа!G12</f>
        <v>3.7800000000000002</v>
      </c>
      <c r="E8" s="35" t="s">
        <v>18</v>
      </c>
    </row>
    <row r="9" spans="2:5" ht="16.5" customHeight="1" x14ac:dyDescent="0.3">
      <c r="B9" s="62" t="s">
        <v>148</v>
      </c>
      <c r="C9" s="63"/>
      <c r="D9" s="36">
        <f>Программа!E45/(4.9*99.9)*500*Программа!C30</f>
        <v>581.39772425486717</v>
      </c>
      <c r="E9" s="35" t="s">
        <v>18</v>
      </c>
    </row>
    <row r="10" spans="2:5" ht="16.5" customHeight="1" x14ac:dyDescent="0.3">
      <c r="B10" s="62" t="s">
        <v>149</v>
      </c>
      <c r="C10" s="63"/>
      <c r="D10" s="36">
        <f>Программа!E45/(4.9*99.9)*500*Программа!C23</f>
        <v>0</v>
      </c>
      <c r="E10" s="35" t="s">
        <v>18</v>
      </c>
    </row>
    <row r="11" spans="2:5" ht="16.5" customHeight="1" x14ac:dyDescent="0.3">
      <c r="B11" s="62" t="str">
        <f>INDEX(Программа!B126:B128,Программа!B129)</f>
        <v>Пароізоляція: полімер-бітумна мембрана SOPREMA MORTERPLAS SBS FM 3 1м x 13м</v>
      </c>
      <c r="C11" s="63"/>
      <c r="D11" s="36">
        <f>Программа!F129</f>
        <v>584.04823428079237</v>
      </c>
      <c r="E11" s="35" t="s">
        <v>18</v>
      </c>
    </row>
    <row r="12" spans="2:5" x14ac:dyDescent="0.3">
      <c r="B12" s="62" t="str">
        <f>Программа!E129</f>
        <v>Бітумний праймер, кг(л)</v>
      </c>
      <c r="C12" s="63"/>
      <c r="D12" s="36">
        <f>Программа!G129</f>
        <v>156.47999999999999</v>
      </c>
      <c r="E12" s="35" t="str">
        <f>Программа!H129</f>
        <v>кг</v>
      </c>
    </row>
    <row r="13" spans="2:5" ht="17.25" customHeight="1" x14ac:dyDescent="0.3">
      <c r="B13" s="62" t="s">
        <v>150</v>
      </c>
      <c r="C13" s="63"/>
      <c r="D13" s="36">
        <f>Программа!F52</f>
        <v>2.11</v>
      </c>
      <c r="E13" s="35" t="s">
        <v>18</v>
      </c>
    </row>
    <row r="14" spans="2:5" ht="16.5" customHeight="1" x14ac:dyDescent="0.3">
      <c r="B14" s="62" t="s">
        <v>151</v>
      </c>
      <c r="C14" s="63"/>
      <c r="D14" s="36">
        <f>Дані!E49/100*15</f>
        <v>1.05</v>
      </c>
      <c r="E14" s="35" t="s">
        <v>20</v>
      </c>
    </row>
    <row r="15" spans="2:5" x14ac:dyDescent="0.3">
      <c r="B15" s="62" t="str">
        <f>Программа!C112</f>
        <v>Теплоізоляційна плита TermPIR</v>
      </c>
      <c r="C15" s="63"/>
      <c r="D15" s="36">
        <f>Дані!E37*1.03</f>
        <v>515</v>
      </c>
      <c r="E15" s="35" t="s">
        <v>18</v>
      </c>
    </row>
    <row r="16" spans="2:5" x14ac:dyDescent="0.3">
      <c r="B16" s="41" t="str">
        <f>Программа!C70</f>
        <v>Саморіз для кріплення ізоляції до металу довжиною</v>
      </c>
      <c r="C16" s="37">
        <f>Программа!D104</f>
        <v>60</v>
      </c>
      <c r="D16" s="38">
        <f>IF(B16=0,0,Программа!C75)</f>
        <v>1750</v>
      </c>
      <c r="E16" s="35" t="s">
        <v>25</v>
      </c>
    </row>
    <row r="17" spans="2:5" x14ac:dyDescent="0.3">
      <c r="B17" s="41" t="str">
        <f>Программа!D70</f>
        <v>Телескопічний дюбель LDK довжиною, мм</v>
      </c>
      <c r="C17" s="37">
        <f>Программа!C104</f>
        <v>135</v>
      </c>
      <c r="D17" s="38">
        <f>Программа!C75</f>
        <v>1750</v>
      </c>
      <c r="E17" s="35" t="s">
        <v>25</v>
      </c>
    </row>
    <row r="18" spans="2:5" ht="31.5" customHeight="1" x14ac:dyDescent="0.3">
      <c r="B18" s="62" t="str">
        <f>Программа!B137</f>
        <v xml:space="preserve">Покрівельна воронка утеплена (вертикальна) SitaTrendy DN 100 з ПВХ-фартухом та системою обігріву </v>
      </c>
      <c r="C18" s="63"/>
      <c r="D18" s="38">
        <f>_xlfn.CEILING.MATH(Дані!E37/Программа!C136,1,)</f>
        <v>2</v>
      </c>
      <c r="E18" s="35" t="s">
        <v>25</v>
      </c>
    </row>
    <row r="19" spans="2:5" ht="18" customHeight="1" x14ac:dyDescent="0.3">
      <c r="B19" s="62" t="s">
        <v>197</v>
      </c>
      <c r="C19" s="63"/>
      <c r="D19" s="38">
        <f>Программа!B141</f>
        <v>7</v>
      </c>
      <c r="E19" s="35" t="s">
        <v>25</v>
      </c>
    </row>
    <row r="20" spans="2:5" x14ac:dyDescent="0.3">
      <c r="B20" s="60" t="str">
        <f>Программа!C148</f>
        <v xml:space="preserve"> -</v>
      </c>
      <c r="C20" s="60"/>
      <c r="D20" s="36">
        <f>Программа!J148</f>
        <v>0</v>
      </c>
      <c r="E20" s="35" t="s">
        <v>18</v>
      </c>
    </row>
    <row r="21" spans="2:5" x14ac:dyDescent="0.3">
      <c r="B21" s="62" t="str">
        <f>Программа!I148</f>
        <v xml:space="preserve"> -</v>
      </c>
      <c r="C21" s="63"/>
      <c r="D21" s="36">
        <f>Программа!H148</f>
        <v>0</v>
      </c>
      <c r="E21" s="35" t="s">
        <v>185</v>
      </c>
    </row>
    <row r="22" spans="2:5" x14ac:dyDescent="0.3">
      <c r="B22" s="60" t="str">
        <f>Программа!D148</f>
        <v xml:space="preserve"> -</v>
      </c>
      <c r="C22" s="60"/>
      <c r="D22" s="36">
        <f>Программа!K148</f>
        <v>0</v>
      </c>
      <c r="E22" s="35" t="s">
        <v>18</v>
      </c>
    </row>
    <row r="23" spans="2:5" x14ac:dyDescent="0.3">
      <c r="B23" s="64" t="s">
        <v>156</v>
      </c>
      <c r="C23" s="64"/>
      <c r="D23" s="64"/>
      <c r="E23" s="64"/>
    </row>
    <row r="24" spans="2:5" x14ac:dyDescent="0.3">
      <c r="B24" s="41" t="str">
        <f>B16</f>
        <v>Саморіз для кріплення ізоляції до металу довжиною</v>
      </c>
      <c r="C24" s="37">
        <f>C16</f>
        <v>60</v>
      </c>
      <c r="D24" s="38">
        <f>3*Дані!E37</f>
        <v>1500</v>
      </c>
      <c r="E24" s="35" t="s">
        <v>25</v>
      </c>
    </row>
    <row r="25" spans="2:5" x14ac:dyDescent="0.3">
      <c r="B25" s="41" t="str">
        <f>B17</f>
        <v>Телескопічний дюбель LDK довжиною, мм</v>
      </c>
      <c r="C25" s="37">
        <f>C17</f>
        <v>135</v>
      </c>
      <c r="D25" s="38">
        <f>D24</f>
        <v>1500</v>
      </c>
      <c r="E25" s="35" t="s">
        <v>25</v>
      </c>
    </row>
    <row r="27" spans="2:5" x14ac:dyDescent="0.3">
      <c r="B27" s="61" t="s">
        <v>152</v>
      </c>
      <c r="C27" s="61"/>
      <c r="D27" s="61"/>
      <c r="E27" s="61"/>
    </row>
  </sheetData>
  <sheetProtection selectLockedCells="1"/>
  <mergeCells count="18">
    <mergeCell ref="B5:E5"/>
    <mergeCell ref="B7:C7"/>
    <mergeCell ref="B8:C8"/>
    <mergeCell ref="B9:C9"/>
    <mergeCell ref="B10:C10"/>
    <mergeCell ref="B6:C6"/>
    <mergeCell ref="B20:C20"/>
    <mergeCell ref="B22:C22"/>
    <mergeCell ref="B27:E27"/>
    <mergeCell ref="B18:C18"/>
    <mergeCell ref="B11:C11"/>
    <mergeCell ref="B12:C12"/>
    <mergeCell ref="B13:C13"/>
    <mergeCell ref="B14:C14"/>
    <mergeCell ref="B15:C15"/>
    <mergeCell ref="B23:E23"/>
    <mergeCell ref="B19:C19"/>
    <mergeCell ref="B21:C21"/>
  </mergeCells>
  <pageMargins left="0.42" right="0.17" top="0.74803149606299213" bottom="0.74803149606299213" header="0.31496062992125984" footer="0.31496062992125984"/>
  <pageSetup paperSize="9" orientation="portrait" horizontalDpi="18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-0.499984740745262"/>
  </sheetPr>
  <dimension ref="B4:E22"/>
  <sheetViews>
    <sheetView zoomScale="115" zoomScaleNormal="115" workbookViewId="0">
      <selection activeCell="G7" sqref="G7"/>
    </sheetView>
  </sheetViews>
  <sheetFormatPr defaultColWidth="9.109375" defaultRowHeight="16.2" x14ac:dyDescent="0.3"/>
  <cols>
    <col min="1" max="1" width="9.109375" style="34"/>
    <col min="2" max="2" width="61.109375" style="34" bestFit="1" customWidth="1"/>
    <col min="3" max="3" width="7.6640625" style="34" customWidth="1"/>
    <col min="4" max="4" width="14" style="34" customWidth="1"/>
    <col min="5" max="5" width="12.6640625" style="34" customWidth="1"/>
    <col min="6" max="16384" width="9.109375" style="34"/>
  </cols>
  <sheetData>
    <row r="4" spans="2:5" x14ac:dyDescent="0.3">
      <c r="B4" s="39">
        <f ca="1">TODAY()</f>
        <v>45457</v>
      </c>
    </row>
    <row r="5" spans="2:5" x14ac:dyDescent="0.3">
      <c r="B5" s="65" t="s">
        <v>21</v>
      </c>
      <c r="C5" s="65"/>
      <c r="D5" s="65"/>
      <c r="E5" s="65"/>
    </row>
    <row r="6" spans="2:5" ht="32.4" x14ac:dyDescent="0.3">
      <c r="B6" s="68" t="s">
        <v>22</v>
      </c>
      <c r="C6" s="69"/>
      <c r="D6" s="35" t="s">
        <v>16</v>
      </c>
      <c r="E6" s="35" t="s">
        <v>17</v>
      </c>
    </row>
    <row r="7" spans="2:5" x14ac:dyDescent="0.3">
      <c r="B7" s="62" t="str">
        <f>Программа!B13</f>
        <v xml:space="preserve">Покрівельна армована ПВХ-мембрана Soprema Flagon® SR 1,2 мм (2.10х25 м) </v>
      </c>
      <c r="C7" s="63"/>
      <c r="D7" s="36">
        <f>Программа2!E34+Программа2!H9</f>
        <v>684.13499999999999</v>
      </c>
      <c r="E7" s="35" t="s">
        <v>18</v>
      </c>
    </row>
    <row r="8" spans="2:5" ht="33.75" customHeight="1" x14ac:dyDescent="0.3">
      <c r="B8" s="66" t="s">
        <v>87</v>
      </c>
      <c r="C8" s="67"/>
      <c r="D8" s="36">
        <f>Программа2!G9</f>
        <v>3.7800000000000002</v>
      </c>
      <c r="E8" s="35" t="s">
        <v>18</v>
      </c>
    </row>
    <row r="9" spans="2:5" x14ac:dyDescent="0.3">
      <c r="B9" s="62" t="s">
        <v>23</v>
      </c>
      <c r="C9" s="63"/>
      <c r="D9" s="36">
        <f>Программа!E45/(4.9*99.9)*500*Программа!C30</f>
        <v>581.39772425486717</v>
      </c>
      <c r="E9" s="35" t="s">
        <v>18</v>
      </c>
    </row>
    <row r="10" spans="2:5" x14ac:dyDescent="0.3">
      <c r="B10" s="62" t="s">
        <v>24</v>
      </c>
      <c r="C10" s="63"/>
      <c r="D10" s="36">
        <f>Программа!E45/(4.9*99.9)*500*Программа!C23</f>
        <v>0</v>
      </c>
      <c r="E10" s="35" t="s">
        <v>18</v>
      </c>
    </row>
    <row r="11" spans="2:5" x14ac:dyDescent="0.3">
      <c r="B11" s="62" t="s">
        <v>68</v>
      </c>
      <c r="C11" s="63"/>
      <c r="D11" s="36">
        <f>Программа2!E50/(1.38*49.88)*75</f>
        <v>577.47289146124615</v>
      </c>
      <c r="E11" s="35" t="s">
        <v>18</v>
      </c>
    </row>
    <row r="12" spans="2:5" x14ac:dyDescent="0.3">
      <c r="B12" s="62" t="s">
        <v>66</v>
      </c>
      <c r="C12" s="63"/>
      <c r="D12" s="36">
        <f>D11/75*51.5+Дані!E38/2</f>
        <v>456.53138547005568</v>
      </c>
      <c r="E12" s="35" t="s">
        <v>4</v>
      </c>
    </row>
    <row r="13" spans="2:5" ht="30" customHeight="1" x14ac:dyDescent="0.3">
      <c r="B13" s="62" t="s">
        <v>19</v>
      </c>
      <c r="C13" s="63"/>
      <c r="D13" s="36">
        <f>Программа2!F44</f>
        <v>2.11</v>
      </c>
      <c r="E13" s="35" t="s">
        <v>18</v>
      </c>
    </row>
    <row r="14" spans="2:5" x14ac:dyDescent="0.3">
      <c r="B14" s="62" t="s">
        <v>67</v>
      </c>
      <c r="C14" s="63"/>
      <c r="D14" s="36">
        <f>Дані!E49/100*10.26</f>
        <v>0.71820000000000006</v>
      </c>
      <c r="E14" s="35" t="s">
        <v>20</v>
      </c>
    </row>
    <row r="15" spans="2:5" x14ac:dyDescent="0.3">
      <c r="B15" s="62" t="str">
        <f>Программа!C112</f>
        <v>Теплоізоляційна плита TermPIR</v>
      </c>
      <c r="C15" s="63"/>
      <c r="D15" s="36">
        <f>Дані!E37*1.03</f>
        <v>515</v>
      </c>
      <c r="E15" s="35" t="s">
        <v>18</v>
      </c>
    </row>
    <row r="16" spans="2:5" x14ac:dyDescent="0.3">
      <c r="B16" s="41" t="str">
        <f>Программа!C70</f>
        <v>Саморіз для кріплення ізоляції до металу довжиною</v>
      </c>
      <c r="C16" s="37">
        <f>Программа!D104</f>
        <v>60</v>
      </c>
      <c r="D16" s="38">
        <f>IF(B16=0,0,Программа2!C67)</f>
        <v>1400</v>
      </c>
      <c r="E16" s="35" t="s">
        <v>25</v>
      </c>
    </row>
    <row r="17" spans="2:5" x14ac:dyDescent="0.3">
      <c r="B17" s="41" t="str">
        <f>Программа!D70</f>
        <v>Телескопічний дюбель LDK довжиною, мм</v>
      </c>
      <c r="C17" s="37">
        <f>Программа!C104</f>
        <v>135</v>
      </c>
      <c r="D17" s="38">
        <f>Программа2!C67</f>
        <v>1400</v>
      </c>
      <c r="E17" s="35" t="s">
        <v>25</v>
      </c>
    </row>
    <row r="18" spans="2:5" x14ac:dyDescent="0.3">
      <c r="B18" s="62" t="s">
        <v>57</v>
      </c>
      <c r="C18" s="63"/>
      <c r="D18" s="35">
        <f>CEILING(Дані!E37/700,1)</f>
        <v>1</v>
      </c>
      <c r="E18" s="35" t="s">
        <v>25</v>
      </c>
    </row>
    <row r="19" spans="2:5" x14ac:dyDescent="0.3">
      <c r="B19" s="60" t="s">
        <v>76</v>
      </c>
      <c r="C19" s="60"/>
      <c r="D19" s="36">
        <f>IF(Программа2!$B$106,Программа2!E116,0)</f>
        <v>0</v>
      </c>
      <c r="E19" s="35" t="s">
        <v>18</v>
      </c>
    </row>
    <row r="20" spans="2:5" x14ac:dyDescent="0.3">
      <c r="B20" s="60" t="s">
        <v>77</v>
      </c>
      <c r="C20" s="60"/>
      <c r="D20" s="36">
        <f>IF(Программа2!$B$106,Программа2!E117,0)</f>
        <v>0</v>
      </c>
      <c r="E20" s="35" t="s">
        <v>18</v>
      </c>
    </row>
    <row r="22" spans="2:5" x14ac:dyDescent="0.3">
      <c r="B22" s="61" t="s">
        <v>81</v>
      </c>
      <c r="C22" s="61"/>
      <c r="D22" s="61"/>
      <c r="E22" s="61"/>
    </row>
  </sheetData>
  <sheetProtection selectLockedCells="1"/>
  <mergeCells count="15">
    <mergeCell ref="B19:C19"/>
    <mergeCell ref="B20:C20"/>
    <mergeCell ref="B22:E22"/>
    <mergeCell ref="B11:C11"/>
    <mergeCell ref="B12:C12"/>
    <mergeCell ref="B13:C13"/>
    <mergeCell ref="B14:C14"/>
    <mergeCell ref="B15:C15"/>
    <mergeCell ref="B18:C18"/>
    <mergeCell ref="B10:C10"/>
    <mergeCell ref="B5:E5"/>
    <mergeCell ref="B6:C6"/>
    <mergeCell ref="B7:C7"/>
    <mergeCell ref="B8:C8"/>
    <mergeCell ref="B9:C9"/>
  </mergeCells>
  <pageMargins left="0.42" right="0.17" top="0.74803149606299213" bottom="0.74803149606299213" header="0.31496062992125984" footer="0.31496062992125984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5</vt:i4>
      </vt:variant>
      <vt:variant>
        <vt:lpstr>Іменовані діапазони</vt:lpstr>
      </vt:variant>
      <vt:variant>
        <vt:i4>2</vt:i4>
      </vt:variant>
    </vt:vector>
  </HeadingPairs>
  <TitlesOfParts>
    <vt:vector size="7" baseType="lpstr">
      <vt:lpstr>Дані</vt:lpstr>
      <vt:lpstr>Программа</vt:lpstr>
      <vt:lpstr>Программа2</vt:lpstr>
      <vt:lpstr>Результат</vt:lpstr>
      <vt:lpstr>Результат2</vt:lpstr>
      <vt:lpstr>Результат!Область_друку</vt:lpstr>
      <vt:lpstr>Результат2!Область_друку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2024-06-14T09:47:13Z</dcterms:modified>
</cp:coreProperties>
</file>