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830" codeName="{372AB895-14C1-FC20-EB20-F1B4BCFD95AE}"/>
  <workbookPr filterPrivacy="1" codeName="ЭтаКнига" defaultThemeVersion="124226"/>
  <xr:revisionPtr revIDLastSave="0" documentId="13_ncr:1_{236C24FD-374A-4BEB-A7CD-F716A67EDEAC}" xr6:coauthVersionLast="47" xr6:coauthVersionMax="47" xr10:uidLastSave="{00000000-0000-0000-0000-000000000000}"/>
  <bookViews>
    <workbookView xWindow="-108" yWindow="-108" windowWidth="23256" windowHeight="12456" activeTab="3" xr2:uid="{00000000-000D-0000-FFFF-FFFF00000000}"/>
  </bookViews>
  <sheets>
    <sheet name="Исходные" sheetId="1" r:id="rId1"/>
    <sheet name="Программа" sheetId="2" r:id="rId2"/>
    <sheet name="Результат" sheetId="3" r:id="rId3"/>
    <sheet name="Аркуш1" sheetId="6" r:id="rId4"/>
    <sheet name="Версия" sheetId="4" state="hidden" r:id="rId5"/>
    <sheet name="Как включить макрос" sheetId="5" r:id="rId6"/>
  </sheets>
  <definedNames>
    <definedName name="_xlnm.Print_Area" localSheetId="2">Результат!$B$1:$F$21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4" i="3" l="1"/>
  <c r="H118" i="2"/>
  <c r="H117" i="2"/>
  <c r="W43" i="2" l="1"/>
  <c r="T43" i="2" s="1"/>
  <c r="W44" i="2"/>
  <c r="T44" i="2" s="1"/>
  <c r="W45" i="2"/>
  <c r="S45" i="2" s="1"/>
  <c r="W46" i="2"/>
  <c r="T46" i="2" s="1"/>
  <c r="W47" i="2"/>
  <c r="T47" i="2" s="1"/>
  <c r="W48" i="2"/>
  <c r="T48" i="2" s="1"/>
  <c r="W49" i="2"/>
  <c r="S49" i="2" s="1"/>
  <c r="W50" i="2"/>
  <c r="T50" i="2" s="1"/>
  <c r="W51" i="2"/>
  <c r="S51" i="2" s="1"/>
  <c r="V43" i="2"/>
  <c r="V44" i="2"/>
  <c r="V45" i="2"/>
  <c r="V46" i="2"/>
  <c r="V47" i="2"/>
  <c r="V48" i="2"/>
  <c r="V49" i="2"/>
  <c r="V50" i="2"/>
  <c r="V51" i="2"/>
  <c r="W42" i="2"/>
  <c r="T42" i="2" s="1"/>
  <c r="V42" i="2"/>
  <c r="P96" i="2"/>
  <c r="T49" i="2" l="1"/>
  <c r="S47" i="2"/>
  <c r="S44" i="2"/>
  <c r="T51" i="2"/>
  <c r="S43" i="2"/>
  <c r="T45" i="2"/>
  <c r="S48" i="2"/>
  <c r="S42" i="2"/>
  <c r="S50" i="2"/>
  <c r="S46" i="2"/>
  <c r="H116" i="2"/>
  <c r="H115" i="2"/>
  <c r="H114" i="2"/>
  <c r="H113" i="2"/>
  <c r="H112" i="2"/>
  <c r="H111" i="2"/>
  <c r="H110" i="2"/>
  <c r="H109" i="2"/>
  <c r="H108" i="2"/>
  <c r="H107" i="2"/>
  <c r="C12" i="2"/>
  <c r="C118" i="2" s="1"/>
  <c r="T52" i="2" l="1"/>
  <c r="S52" i="2"/>
  <c r="C114" i="2"/>
  <c r="C112" i="2"/>
  <c r="C107" i="2"/>
  <c r="C115" i="2"/>
  <c r="C111" i="2"/>
  <c r="C108" i="2"/>
  <c r="C116" i="2"/>
  <c r="C113" i="2"/>
  <c r="C109" i="2"/>
  <c r="C117" i="2"/>
  <c r="C110" i="2"/>
  <c r="G34" i="2" l="1"/>
  <c r="G35" i="2"/>
  <c r="G36" i="2"/>
  <c r="G37" i="2"/>
  <c r="G33" i="2"/>
  <c r="F34" i="2"/>
  <c r="F35" i="2"/>
  <c r="F36" i="2"/>
  <c r="F37" i="2"/>
  <c r="F33" i="2"/>
  <c r="K33" i="2" l="1"/>
  <c r="K37" i="2"/>
  <c r="L37" i="2" s="1"/>
  <c r="K34" i="2"/>
  <c r="L34" i="2" s="1"/>
  <c r="K35" i="2"/>
  <c r="L35" i="2" s="1"/>
  <c r="K36" i="2"/>
  <c r="L36" i="2" s="1"/>
  <c r="N84" i="2"/>
  <c r="N85" i="2"/>
  <c r="N86" i="2"/>
  <c r="N87" i="2"/>
  <c r="M84" i="2"/>
  <c r="M85" i="2"/>
  <c r="M86" i="2"/>
  <c r="M87" i="2"/>
  <c r="N83" i="2"/>
  <c r="M83" i="2"/>
  <c r="T37" i="2"/>
  <c r="T36" i="2"/>
  <c r="T35" i="2"/>
  <c r="T34" i="2"/>
  <c r="T33" i="2"/>
  <c r="S37" i="2"/>
  <c r="S36" i="2"/>
  <c r="S35" i="2"/>
  <c r="S34" i="2"/>
  <c r="G20" i="2"/>
  <c r="C20" i="2"/>
  <c r="C24" i="2"/>
  <c r="C9" i="3"/>
  <c r="M88" i="2" l="1"/>
  <c r="N88" i="2"/>
  <c r="T38" i="2"/>
  <c r="Q33" i="2" s="1"/>
  <c r="G24" i="2"/>
  <c r="B4" i="3"/>
  <c r="C33" i="2"/>
  <c r="C34" i="2"/>
  <c r="C35" i="2"/>
  <c r="C36" i="2"/>
  <c r="C37" i="2"/>
  <c r="K47" i="2"/>
  <c r="K48" i="2"/>
  <c r="K49" i="2"/>
  <c r="K51" i="2"/>
  <c r="Q88" i="2" l="1"/>
  <c r="O88" i="2"/>
  <c r="H75" i="2"/>
  <c r="H78" i="2"/>
  <c r="H84" i="2"/>
  <c r="H85" i="2"/>
  <c r="H86" i="2"/>
  <c r="H87" i="2"/>
  <c r="G6" i="2"/>
  <c r="C10" i="3"/>
  <c r="C12" i="3"/>
  <c r="C13" i="3"/>
  <c r="C15" i="3"/>
  <c r="C16" i="3"/>
  <c r="C18" i="3"/>
  <c r="M43" i="2"/>
  <c r="M44" i="2"/>
  <c r="M45" i="2"/>
  <c r="M46" i="2"/>
  <c r="M47" i="2"/>
  <c r="M48" i="2"/>
  <c r="M49" i="2"/>
  <c r="M50" i="2"/>
  <c r="M51" i="2"/>
  <c r="M42" i="2"/>
  <c r="E34" i="2"/>
  <c r="E35" i="2"/>
  <c r="E36" i="2"/>
  <c r="E37" i="2"/>
  <c r="E33" i="2"/>
  <c r="K24" i="2"/>
  <c r="I24" i="2"/>
  <c r="Q20" i="2"/>
  <c r="G21" i="2"/>
  <c r="Q21" i="2" s="1"/>
  <c r="G22" i="2"/>
  <c r="Q22" i="2" s="1"/>
  <c r="G23" i="2"/>
  <c r="Q23" i="2" s="1"/>
  <c r="Q24" i="2"/>
  <c r="G25" i="2"/>
  <c r="Q25" i="2" s="1"/>
  <c r="G26" i="2"/>
  <c r="Q26" i="2" s="1"/>
  <c r="G27" i="2"/>
  <c r="Q27" i="2" s="1"/>
  <c r="G28" i="2"/>
  <c r="Q28" i="2" s="1"/>
  <c r="G19" i="2"/>
  <c r="I19" i="2" s="1"/>
  <c r="C84" i="2"/>
  <c r="F84" i="2" s="1"/>
  <c r="G84" i="2" s="1"/>
  <c r="C85" i="2"/>
  <c r="F85" i="2" s="1"/>
  <c r="G85" i="2" s="1"/>
  <c r="C86" i="2"/>
  <c r="F86" i="2" s="1"/>
  <c r="G86" i="2" s="1"/>
  <c r="C87" i="2"/>
  <c r="F87" i="2" s="1"/>
  <c r="G87" i="2" s="1"/>
  <c r="C83" i="2"/>
  <c r="F83" i="2" s="1"/>
  <c r="G83" i="2" s="1"/>
  <c r="C75" i="2"/>
  <c r="F75" i="2" s="1"/>
  <c r="G75" i="2" s="1"/>
  <c r="C76" i="2"/>
  <c r="F76" i="2" s="1"/>
  <c r="G76" i="2" s="1"/>
  <c r="C77" i="2"/>
  <c r="F77" i="2" s="1"/>
  <c r="G77" i="2" s="1"/>
  <c r="C78" i="2"/>
  <c r="F78" i="2" s="1"/>
  <c r="G78" i="2" s="1"/>
  <c r="C74" i="2"/>
  <c r="F74" i="2" s="1"/>
  <c r="G74" i="2" s="1"/>
  <c r="E66" i="2"/>
  <c r="H66" i="2" s="1"/>
  <c r="I66" i="2" s="1"/>
  <c r="E67" i="2"/>
  <c r="H67" i="2" s="1"/>
  <c r="I67" i="2" s="1"/>
  <c r="E68" i="2"/>
  <c r="H68" i="2" s="1"/>
  <c r="I68" i="2" s="1"/>
  <c r="E69" i="2"/>
  <c r="H69" i="2" s="1"/>
  <c r="I69" i="2" s="1"/>
  <c r="E65" i="2"/>
  <c r="H65" i="2" s="1"/>
  <c r="I65" i="2" s="1"/>
  <c r="C66" i="2"/>
  <c r="G66" i="2" s="1"/>
  <c r="C67" i="2"/>
  <c r="G67" i="2" s="1"/>
  <c r="C68" i="2"/>
  <c r="G68" i="2" s="1"/>
  <c r="C69" i="2"/>
  <c r="G69" i="2" s="1"/>
  <c r="C65" i="2"/>
  <c r="G65" i="2" s="1"/>
  <c r="E57" i="2"/>
  <c r="H57" i="2" s="1"/>
  <c r="I57" i="2" s="1"/>
  <c r="E58" i="2"/>
  <c r="H58" i="2" s="1"/>
  <c r="I58" i="2" s="1"/>
  <c r="E59" i="2"/>
  <c r="H59" i="2" s="1"/>
  <c r="I59" i="2" s="1"/>
  <c r="E60" i="2"/>
  <c r="H60" i="2" s="1"/>
  <c r="I60" i="2" s="1"/>
  <c r="E56" i="2"/>
  <c r="H56" i="2" s="1"/>
  <c r="I56" i="2" s="1"/>
  <c r="C57" i="2"/>
  <c r="G57" i="2" s="1"/>
  <c r="C58" i="2"/>
  <c r="G58" i="2" s="1"/>
  <c r="C59" i="2"/>
  <c r="G59" i="2" s="1"/>
  <c r="C60" i="2"/>
  <c r="G60" i="2" s="1"/>
  <c r="C56" i="2"/>
  <c r="G56" i="2" s="1"/>
  <c r="E43" i="2"/>
  <c r="H43" i="2" s="1"/>
  <c r="P43" i="2" s="1"/>
  <c r="E44" i="2"/>
  <c r="H44" i="2" s="1"/>
  <c r="P44" i="2" s="1"/>
  <c r="E45" i="2"/>
  <c r="H45" i="2" s="1"/>
  <c r="P45" i="2" s="1"/>
  <c r="E46" i="2"/>
  <c r="H46" i="2" s="1"/>
  <c r="P46" i="2" s="1"/>
  <c r="E47" i="2"/>
  <c r="H47" i="2" s="1"/>
  <c r="E48" i="2"/>
  <c r="H48" i="2" s="1"/>
  <c r="E49" i="2"/>
  <c r="H49" i="2" s="1"/>
  <c r="E50" i="2"/>
  <c r="H50" i="2" s="1"/>
  <c r="K50" i="2" s="1"/>
  <c r="E51" i="2"/>
  <c r="H51" i="2" s="1"/>
  <c r="E42" i="2"/>
  <c r="H42" i="2" s="1"/>
  <c r="C43" i="2"/>
  <c r="G43" i="2" s="1"/>
  <c r="C44" i="2"/>
  <c r="G44" i="2" s="1"/>
  <c r="C45" i="2"/>
  <c r="G45" i="2" s="1"/>
  <c r="C46" i="2"/>
  <c r="G46" i="2" s="1"/>
  <c r="C47" i="2"/>
  <c r="G47" i="2" s="1"/>
  <c r="C48" i="2"/>
  <c r="G48" i="2" s="1"/>
  <c r="C49" i="2"/>
  <c r="G49" i="2" s="1"/>
  <c r="C50" i="2"/>
  <c r="G50" i="2" s="1"/>
  <c r="C51" i="2"/>
  <c r="G51" i="2" s="1"/>
  <c r="C42" i="2"/>
  <c r="G42" i="2" s="1"/>
  <c r="F20" i="2"/>
  <c r="C21" i="2"/>
  <c r="F21" i="2" s="1"/>
  <c r="C22" i="2"/>
  <c r="F22" i="2" s="1"/>
  <c r="C23" i="2"/>
  <c r="F23" i="2" s="1"/>
  <c r="F24" i="2"/>
  <c r="C25" i="2"/>
  <c r="F25" i="2" s="1"/>
  <c r="C26" i="2"/>
  <c r="F26" i="2" s="1"/>
  <c r="C27" i="2"/>
  <c r="F27" i="2" s="1"/>
  <c r="C28" i="2"/>
  <c r="F28" i="2" s="1"/>
  <c r="C19" i="2"/>
  <c r="F19" i="2" s="1"/>
  <c r="Y24" i="2" l="1"/>
  <c r="H28" i="2"/>
  <c r="M36" i="2"/>
  <c r="K65" i="2"/>
  <c r="K56" i="2"/>
  <c r="M34" i="2"/>
  <c r="M35" i="2"/>
  <c r="K68" i="2"/>
  <c r="K66" i="2"/>
  <c r="K69" i="2"/>
  <c r="K67" i="2"/>
  <c r="K58" i="2"/>
  <c r="K57" i="2"/>
  <c r="K59" i="2"/>
  <c r="K60" i="2"/>
  <c r="I47" i="2"/>
  <c r="P47" i="2"/>
  <c r="I48" i="2"/>
  <c r="P48" i="2"/>
  <c r="I49" i="2"/>
  <c r="P49" i="2"/>
  <c r="I50" i="2"/>
  <c r="P50" i="2"/>
  <c r="I51" i="2"/>
  <c r="P51" i="2"/>
  <c r="I42" i="2"/>
  <c r="P42" i="2"/>
  <c r="M37" i="2"/>
  <c r="H77" i="2"/>
  <c r="H76" i="2"/>
  <c r="K19" i="2"/>
  <c r="Y19" i="2" s="1"/>
  <c r="H27" i="2"/>
  <c r="K28" i="2"/>
  <c r="K27" i="2"/>
  <c r="H23" i="2"/>
  <c r="I22" i="2"/>
  <c r="K22" i="2"/>
  <c r="I23" i="2"/>
  <c r="K23" i="2"/>
  <c r="I25" i="2"/>
  <c r="K25" i="2"/>
  <c r="H22" i="2"/>
  <c r="K26" i="2"/>
  <c r="K20" i="2"/>
  <c r="I43" i="2"/>
  <c r="K43" i="2"/>
  <c r="K42" i="2"/>
  <c r="I46" i="2"/>
  <c r="K46" i="2"/>
  <c r="I45" i="2"/>
  <c r="K45" i="2"/>
  <c r="I44" i="2"/>
  <c r="K44" i="2"/>
  <c r="H74" i="2"/>
  <c r="C8" i="3"/>
  <c r="C17" i="3"/>
  <c r="C7" i="3"/>
  <c r="C11" i="3"/>
  <c r="I28" i="2"/>
  <c r="H24" i="2"/>
  <c r="H25" i="2"/>
  <c r="I26" i="2"/>
  <c r="I27" i="2"/>
  <c r="I21" i="2"/>
  <c r="H26" i="2"/>
  <c r="I20" i="2"/>
  <c r="H20" i="2"/>
  <c r="K21" i="2"/>
  <c r="H21" i="2"/>
  <c r="H83" i="2"/>
  <c r="H88" i="2" s="1"/>
  <c r="Q19" i="2"/>
  <c r="M52" i="2"/>
  <c r="I35" i="2"/>
  <c r="I36" i="2"/>
  <c r="I37" i="2"/>
  <c r="I33" i="2"/>
  <c r="I34" i="2"/>
  <c r="H19" i="2"/>
  <c r="G79" i="2"/>
  <c r="G88" i="2"/>
  <c r="I61" i="2"/>
  <c r="I70" i="2"/>
  <c r="G52" i="2"/>
  <c r="F29" i="2"/>
  <c r="L99" i="2" s="1"/>
  <c r="G61" i="2"/>
  <c r="G70" i="2"/>
  <c r="Y25" i="2" l="1"/>
  <c r="J99" i="2"/>
  <c r="K99" i="2" s="1"/>
  <c r="O97" i="2"/>
  <c r="I97" i="2"/>
  <c r="N95" i="2"/>
  <c r="J97" i="2"/>
  <c r="L97" i="2"/>
  <c r="I95" i="2"/>
  <c r="N94" i="2"/>
  <c r="J95" i="2"/>
  <c r="O95" i="2"/>
  <c r="Y23" i="2"/>
  <c r="Q29" i="2"/>
  <c r="Y26" i="2"/>
  <c r="Y20" i="2"/>
  <c r="Y27" i="2"/>
  <c r="Y21" i="2"/>
  <c r="Y28" i="2"/>
  <c r="Y22" i="2"/>
  <c r="K70" i="2"/>
  <c r="K61" i="2"/>
  <c r="M61" i="2" s="1"/>
  <c r="I52" i="2"/>
  <c r="P52" i="2"/>
  <c r="M33" i="2"/>
  <c r="M38" i="2" s="1"/>
  <c r="L33" i="2"/>
  <c r="O52" i="2"/>
  <c r="H79" i="2"/>
  <c r="K29" i="2"/>
  <c r="K52" i="2"/>
  <c r="I29" i="2"/>
  <c r="H29" i="2"/>
  <c r="I38" i="2"/>
  <c r="O92" i="2" s="1"/>
  <c r="P95" i="2" l="1"/>
  <c r="P97" i="2"/>
  <c r="P101" i="2"/>
  <c r="I92" i="2"/>
  <c r="N92" i="2"/>
  <c r="P92" i="2"/>
  <c r="I98" i="2"/>
  <c r="J98" i="2"/>
  <c r="I99" i="2"/>
  <c r="J101" i="2"/>
  <c r="K101" i="2" s="1"/>
  <c r="O101" i="2"/>
  <c r="E116" i="2" s="1"/>
  <c r="K97" i="2"/>
  <c r="M94" i="2" s="1"/>
  <c r="O100" i="2"/>
  <c r="J103" i="2"/>
  <c r="I101" i="2"/>
  <c r="L98" i="2"/>
  <c r="I100" i="2"/>
  <c r="J102" i="2"/>
  <c r="O99" i="2"/>
  <c r="E114" i="2" s="1"/>
  <c r="K95" i="2"/>
  <c r="L96" i="2" s="1"/>
  <c r="N96" i="2"/>
  <c r="L94" i="2"/>
  <c r="O98" i="2"/>
  <c r="O94" i="2"/>
  <c r="J94" i="2"/>
  <c r="I94" i="2"/>
  <c r="M70" i="2"/>
  <c r="H4" i="2"/>
  <c r="H5" i="2"/>
  <c r="J92" i="2"/>
  <c r="Y29" i="2"/>
  <c r="K92" i="2"/>
  <c r="Q52" i="2"/>
  <c r="H6" i="2"/>
  <c r="L38" i="2"/>
  <c r="O38" i="2" s="1"/>
  <c r="M92" i="2"/>
  <c r="L92" i="2"/>
  <c r="E112" i="2" l="1"/>
  <c r="I112" i="2" s="1"/>
  <c r="K112" i="2" s="1"/>
  <c r="M112" i="2" s="1"/>
  <c r="K103" i="2"/>
  <c r="E118" i="2" s="1"/>
  <c r="L118" i="2" s="1"/>
  <c r="G118" i="2" s="1"/>
  <c r="D18" i="3" s="1"/>
  <c r="E107" i="2"/>
  <c r="K102" i="2"/>
  <c r="E117" i="2" s="1"/>
  <c r="I117" i="2" s="1"/>
  <c r="P99" i="2"/>
  <c r="P94" i="2"/>
  <c r="P100" i="2"/>
  <c r="P98" i="2"/>
  <c r="O93" i="2"/>
  <c r="K94" i="2"/>
  <c r="E109" i="2" s="1"/>
  <c r="L109" i="2" s="1"/>
  <c r="G109" i="2" s="1"/>
  <c r="D9" i="3" s="1"/>
  <c r="J100" i="2"/>
  <c r="K100" i="2" s="1"/>
  <c r="K98" i="2"/>
  <c r="M95" i="2" s="1"/>
  <c r="M104" i="2" s="1"/>
  <c r="N93" i="2"/>
  <c r="L93" i="2"/>
  <c r="J93" i="2"/>
  <c r="I93" i="2"/>
  <c r="L116" i="2"/>
  <c r="G116" i="2" s="1"/>
  <c r="D16" i="3" s="1"/>
  <c r="L112" i="2"/>
  <c r="G112" i="2" s="1"/>
  <c r="D12" i="3" s="1"/>
  <c r="E113" i="2" l="1"/>
  <c r="L113" i="2" s="1"/>
  <c r="G113" i="2" s="1"/>
  <c r="D13" i="3" s="1"/>
  <c r="E115" i="2"/>
  <c r="L115" i="2" s="1"/>
  <c r="G115" i="2" s="1"/>
  <c r="D15" i="3" s="1"/>
  <c r="L117" i="2"/>
  <c r="G117" i="2" s="1"/>
  <c r="D17" i="3" s="1"/>
  <c r="P93" i="2"/>
  <c r="K93" i="2"/>
  <c r="M93" i="2" s="1"/>
  <c r="D20" i="3"/>
  <c r="D19" i="3"/>
  <c r="L114" i="2"/>
  <c r="G114" i="2" s="1"/>
  <c r="D14" i="3" s="1"/>
  <c r="I114" i="2"/>
  <c r="K114" i="2" s="1"/>
  <c r="M114" i="2" s="1"/>
  <c r="I107" i="2"/>
  <c r="K107" i="2" s="1"/>
  <c r="M107" i="2" s="1"/>
  <c r="N107" i="2" s="1"/>
  <c r="N104" i="2"/>
  <c r="I118" i="2"/>
  <c r="K118" i="2" s="1"/>
  <c r="M118" i="2" s="1"/>
  <c r="G18" i="3" s="1"/>
  <c r="I104" i="2"/>
  <c r="L107" i="2"/>
  <c r="G107" i="2" s="1"/>
  <c r="D7" i="3" s="1"/>
  <c r="G12" i="3"/>
  <c r="I116" i="2"/>
  <c r="K116" i="2" s="1"/>
  <c r="M116" i="2" s="1"/>
  <c r="G16" i="3" s="1"/>
  <c r="K117" i="2"/>
  <c r="M117" i="2" s="1"/>
  <c r="N112" i="2"/>
  <c r="I109" i="2"/>
  <c r="E108" i="2" l="1"/>
  <c r="L108" i="2" s="1"/>
  <c r="G108" i="2" s="1"/>
  <c r="D8" i="3" s="1"/>
  <c r="I113" i="2"/>
  <c r="K113" i="2" s="1"/>
  <c r="M113" i="2" s="1"/>
  <c r="G13" i="3" s="1"/>
  <c r="G17" i="3"/>
  <c r="J104" i="2"/>
  <c r="K104" i="2"/>
  <c r="G14" i="3"/>
  <c r="N114" i="2"/>
  <c r="N118" i="2"/>
  <c r="N117" i="2"/>
  <c r="N116" i="2"/>
  <c r="K109" i="2"/>
  <c r="M109" i="2" s="1"/>
  <c r="G9" i="3" s="1"/>
  <c r="I115" i="2"/>
  <c r="G7" i="3"/>
  <c r="I108" i="2" l="1"/>
  <c r="K108" i="2" s="1"/>
  <c r="M108" i="2" s="1"/>
  <c r="G8" i="3" s="1"/>
  <c r="N113" i="2"/>
  <c r="O104" i="2"/>
  <c r="P104" i="2" s="1"/>
  <c r="N109" i="2"/>
  <c r="K115" i="2"/>
  <c r="M115" i="2" s="1"/>
  <c r="G15" i="3" s="1"/>
  <c r="N108" i="2" l="1"/>
  <c r="N115" i="2"/>
  <c r="E11" i="2" l="1"/>
  <c r="Y34" i="2" s="1"/>
  <c r="X34" i="2" s="1"/>
  <c r="V34" i="2" l="1"/>
  <c r="W34" i="2" s="1"/>
  <c r="Y33" i="2"/>
  <c r="X33" i="2" s="1"/>
  <c r="U24" i="2"/>
  <c r="V24" i="2" s="1"/>
  <c r="W24" i="2" s="1"/>
  <c r="O24" i="2" s="1"/>
  <c r="U28" i="2"/>
  <c r="V28" i="2" s="1"/>
  <c r="W28" i="2" s="1"/>
  <c r="O28" i="2" s="1"/>
  <c r="Y37" i="2"/>
  <c r="X37" i="2" s="1"/>
  <c r="Y35" i="2"/>
  <c r="X35" i="2" s="1"/>
  <c r="Y36" i="2"/>
  <c r="X36" i="2" s="1"/>
  <c r="U22" i="2"/>
  <c r="V22" i="2" s="1"/>
  <c r="W22" i="2" s="1"/>
  <c r="O22" i="2" s="1"/>
  <c r="V33" i="2"/>
  <c r="W33" i="2" s="1"/>
  <c r="V36" i="2"/>
  <c r="W36" i="2" s="1"/>
  <c r="U20" i="2"/>
  <c r="V20" i="2" s="1"/>
  <c r="W20" i="2" s="1"/>
  <c r="O20" i="2" s="1"/>
  <c r="U19" i="2"/>
  <c r="V19" i="2" s="1"/>
  <c r="W19" i="2" s="1"/>
  <c r="O19" i="2" s="1"/>
  <c r="U26" i="2"/>
  <c r="V26" i="2" s="1"/>
  <c r="W26" i="2" s="1"/>
  <c r="O26" i="2" s="1"/>
  <c r="V35" i="2"/>
  <c r="W35" i="2" s="1"/>
  <c r="U21" i="2"/>
  <c r="V21" i="2" s="1"/>
  <c r="W21" i="2" s="1"/>
  <c r="O21" i="2" s="1"/>
  <c r="U25" i="2"/>
  <c r="V25" i="2" s="1"/>
  <c r="W25" i="2" s="1"/>
  <c r="O25" i="2" s="1"/>
  <c r="U27" i="2"/>
  <c r="V27" i="2" s="1"/>
  <c r="W27" i="2" s="1"/>
  <c r="O27" i="2" s="1"/>
  <c r="U23" i="2"/>
  <c r="V23" i="2" s="1"/>
  <c r="W23" i="2" s="1"/>
  <c r="O23" i="2" s="1"/>
  <c r="V37" i="2"/>
  <c r="W37" i="2" s="1"/>
  <c r="W38" i="2" l="1"/>
  <c r="O29" i="2"/>
  <c r="X38" i="2"/>
  <c r="P33" i="2" l="1"/>
  <c r="J96" i="2" s="1"/>
  <c r="I96" i="2" l="1"/>
  <c r="K96" i="2" s="1"/>
  <c r="O96" i="2"/>
  <c r="L95" i="2"/>
  <c r="L104" i="2" l="1"/>
  <c r="D21" i="3" s="1"/>
  <c r="E110" i="2"/>
  <c r="E111" i="2"/>
  <c r="L111" i="2" s="1"/>
  <c r="G111" i="2" s="1"/>
  <c r="D11" i="3" s="1"/>
  <c r="L110" i="2" l="1"/>
  <c r="G110" i="2" s="1"/>
  <c r="D10" i="3" s="1"/>
  <c r="I110" i="2"/>
  <c r="I111" i="2"/>
  <c r="K111" i="2" s="1"/>
  <c r="M111" i="2" s="1"/>
  <c r="G11" i="3" s="1"/>
  <c r="K110" i="2" l="1"/>
  <c r="M110" i="2" s="1"/>
  <c r="G10" i="3" s="1"/>
  <c r="N110" i="2"/>
  <c r="N11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F6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04"/>
          </rPr>
          <t>Выбор типа облицовочных панелей</t>
        </r>
      </text>
    </comment>
    <comment ref="H6" authorId="0" shapeId="0" xr:uid="{00000000-0006-0000-0000-000002000000}">
      <text>
        <r>
          <rPr>
            <b/>
            <sz val="9"/>
            <color indexed="81"/>
            <rFont val="Tahoma"/>
            <family val="2"/>
            <charset val="204"/>
          </rPr>
          <t>Обнуляет все ранее вводимые значения (!для работы кнопки надо включить макросы)</t>
        </r>
      </text>
    </comment>
    <comment ref="G9" authorId="0" shapeId="0" xr:uid="{00000000-0006-0000-0000-000003000000}">
      <text>
        <r>
          <rPr>
            <b/>
            <sz val="9"/>
            <color indexed="81"/>
            <rFont val="Tahoma"/>
            <family val="2"/>
            <charset val="204"/>
          </rPr>
          <t>Учитывать в расчете "стартовую" планку</t>
        </r>
      </text>
    </comment>
    <comment ref="H9" authorId="0" shapeId="0" xr:uid="{00000000-0006-0000-0000-000004000000}">
      <text>
        <r>
          <rPr>
            <b/>
            <sz val="9"/>
            <color indexed="81"/>
            <rFont val="Tahoma"/>
            <family val="2"/>
            <charset val="204"/>
          </rPr>
          <t>Учитывать в расчете "финишную" планку</t>
        </r>
      </text>
    </comment>
    <comment ref="I9" authorId="0" shapeId="0" xr:uid="{00000000-0006-0000-0000-000005000000}">
      <text>
        <r>
          <rPr>
            <b/>
            <sz val="9"/>
            <color indexed="81"/>
            <rFont val="Tahoma"/>
            <family val="2"/>
            <charset val="204"/>
          </rPr>
          <t xml:space="preserve">Используем  "J-профиль" или "окантовочную планку" вместо "финишной". Для монтажа сайдинга VOX  используем "финиш" и "j-профиль" одновременно. При наличии фронтона "финиш" не нужен(надо снять флажок). </t>
        </r>
      </text>
    </comment>
    <comment ref="E25" authorId="0" shapeId="0" xr:uid="{00000000-0006-0000-0000-000006000000}">
      <text>
        <r>
          <rPr>
            <b/>
            <sz val="9"/>
            <color indexed="81"/>
            <rFont val="Tahoma"/>
            <family val="2"/>
            <charset val="204"/>
          </rPr>
          <t>При расчете площади треугольных фронтонов заносит только данные: b1 и h1</t>
        </r>
      </text>
    </comment>
    <comment ref="G25" authorId="0" shapeId="0" xr:uid="{00000000-0006-0000-0000-000007000000}">
      <text>
        <r>
          <rPr>
            <b/>
            <sz val="9"/>
            <color indexed="81"/>
            <rFont val="Tahoma"/>
            <family val="2"/>
            <charset val="204"/>
          </rPr>
          <t>При расчете площадей шатровых фронтонов заносим данные:  b1, h1, b2 и h2</t>
        </r>
      </text>
    </comment>
    <comment ref="I25" authorId="0" shapeId="0" xr:uid="{00000000-0006-0000-0000-000008000000}">
      <text>
        <r>
          <rPr>
            <b/>
            <sz val="9"/>
            <color indexed="81"/>
            <rFont val="Tahoma"/>
            <family val="2"/>
            <charset val="204"/>
          </rPr>
          <t>Использовать в качестве примыкания облицовочных панелей к карнизу "Окантовочную планку" вместо "J-профиля"</t>
        </r>
      </text>
    </comment>
    <comment ref="G33" authorId="0" shapeId="0" xr:uid="{00000000-0006-0000-0000-000009000000}">
      <text>
        <r>
          <rPr>
            <b/>
            <sz val="9"/>
            <color indexed="81"/>
            <rFont val="Tahoma"/>
            <family val="2"/>
            <charset val="204"/>
          </rPr>
          <t>Использовать вместо "околооконной планки"  - "J-профиль"</t>
        </r>
      </text>
    </comment>
    <comment ref="H33" authorId="0" shapeId="0" xr:uid="{00000000-0006-0000-0000-00000A000000}">
      <text>
        <r>
          <rPr>
            <b/>
            <sz val="9"/>
            <color indexed="81"/>
            <rFont val="Tahoma"/>
            <family val="2"/>
            <charset val="204"/>
          </rPr>
          <t>Учитывать в расчете "навесные планки" под подоконник</t>
        </r>
      </text>
    </comment>
    <comment ref="G47" authorId="0" shapeId="0" xr:uid="{00000000-0006-0000-0000-00000B000000}">
      <text>
        <r>
          <rPr>
            <b/>
            <sz val="9"/>
            <color indexed="81"/>
            <rFont val="Tahoma"/>
            <family val="2"/>
            <charset val="204"/>
          </rPr>
          <t>Использовать "J-профиль" вместо планки "наличник"</t>
        </r>
      </text>
    </comment>
    <comment ref="G55" authorId="0" shapeId="0" xr:uid="{00000000-0006-0000-0000-00000C000000}">
      <text>
        <r>
          <rPr>
            <b/>
            <sz val="9"/>
            <color indexed="81"/>
            <rFont val="Tahoma"/>
            <family val="2"/>
            <charset val="204"/>
          </rPr>
          <t>Использовать "J-профиль" вместо планки "наличник"</t>
        </r>
      </text>
    </comment>
    <comment ref="F63" authorId="0" shapeId="0" xr:uid="{00000000-0006-0000-0000-00000D000000}">
      <text>
        <r>
          <rPr>
            <b/>
            <sz val="9"/>
            <color indexed="81"/>
            <rFont val="Tahoma"/>
            <family val="2"/>
            <charset val="204"/>
          </rPr>
          <t>Использовать 2 планки "J-профиль" вместо 1 планки "наружный угол"</t>
        </r>
      </text>
    </comment>
    <comment ref="F71" authorId="0" shapeId="0" xr:uid="{00000000-0006-0000-0000-00000E000000}">
      <text>
        <r>
          <rPr>
            <b/>
            <sz val="9"/>
            <color indexed="81"/>
            <rFont val="Tahoma"/>
            <family val="2"/>
            <charset val="204"/>
          </rPr>
          <t>Использовать 2 планки "J-профиль" вместо 1 планки "внутренний угол"</t>
        </r>
      </text>
    </comment>
    <comment ref="F79" authorId="0" shapeId="0" xr:uid="{00000000-0006-0000-0000-00000F000000}">
      <text>
        <r>
          <rPr>
            <b/>
            <sz val="9"/>
            <color indexed="81"/>
            <rFont val="Tahoma"/>
            <family val="2"/>
            <charset val="204"/>
          </rPr>
          <t>Использовать "Окантовочною планку" вместо  "J-профиль"</t>
        </r>
      </text>
    </comment>
  </commentList>
</comments>
</file>

<file path=xl/sharedStrings.xml><?xml version="1.0" encoding="utf-8"?>
<sst xmlns="http://schemas.openxmlformats.org/spreadsheetml/2006/main" count="337" uniqueCount="177">
  <si>
    <t>Ширина, м</t>
  </si>
  <si>
    <t>Высота, м</t>
  </si>
  <si>
    <t>Кол-во, шт</t>
  </si>
  <si>
    <t>№</t>
  </si>
  <si>
    <t>Расчет наружных стен</t>
  </si>
  <si>
    <r>
      <t>Площадь одной стены, м</t>
    </r>
    <r>
      <rPr>
        <sz val="14"/>
        <color theme="1"/>
        <rFont val="Calibri"/>
        <family val="2"/>
        <charset val="204"/>
      </rPr>
      <t>²</t>
    </r>
  </si>
  <si>
    <r>
      <t>S</t>
    </r>
    <r>
      <rPr>
        <sz val="14"/>
        <color theme="1"/>
        <rFont val="Calibri"/>
        <family val="2"/>
        <charset val="204"/>
      </rPr>
      <t>×</t>
    </r>
    <r>
      <rPr>
        <i/>
        <sz val="14"/>
        <color theme="1"/>
        <rFont val="ISOCPEUR"/>
        <family val="2"/>
        <charset val="204"/>
      </rPr>
      <t>n</t>
    </r>
  </si>
  <si>
    <t>Окна</t>
  </si>
  <si>
    <r>
      <t>Площадь одного окна, м</t>
    </r>
    <r>
      <rPr>
        <sz val="14"/>
        <color theme="1"/>
        <rFont val="Calibri"/>
        <family val="2"/>
        <charset val="204"/>
      </rPr>
      <t>²</t>
    </r>
  </si>
  <si>
    <t>Периметр одного окна, м</t>
  </si>
  <si>
    <r>
      <t>S</t>
    </r>
    <r>
      <rPr>
        <sz val="14"/>
        <color theme="1"/>
        <rFont val="Calibri"/>
        <family val="2"/>
        <charset val="204"/>
      </rPr>
      <t>×</t>
    </r>
    <r>
      <rPr>
        <i/>
        <sz val="14"/>
        <color theme="1"/>
        <rFont val="ISOCPEUR"/>
        <family val="2"/>
        <charset val="204"/>
      </rPr>
      <t>n, м²</t>
    </r>
  </si>
  <si>
    <r>
      <t>L</t>
    </r>
    <r>
      <rPr>
        <sz val="14"/>
        <color theme="1"/>
        <rFont val="Calibri"/>
        <family val="2"/>
        <charset val="204"/>
      </rPr>
      <t>×</t>
    </r>
    <r>
      <rPr>
        <i/>
        <sz val="14"/>
        <color theme="1"/>
        <rFont val="ISOCPEUR"/>
        <family val="2"/>
        <charset val="204"/>
      </rPr>
      <t>n, м</t>
    </r>
  </si>
  <si>
    <t>Двери</t>
  </si>
  <si>
    <r>
      <t>Площадь одной двери, м</t>
    </r>
    <r>
      <rPr>
        <sz val="14"/>
        <color theme="1"/>
        <rFont val="Calibri"/>
        <family val="2"/>
        <charset val="204"/>
      </rPr>
      <t>²</t>
    </r>
  </si>
  <si>
    <t>Периметр одной двери, м</t>
  </si>
  <si>
    <t>Гаражные ворота</t>
  </si>
  <si>
    <r>
      <t>Площадь одного проема, м</t>
    </r>
    <r>
      <rPr>
        <sz val="14"/>
        <color theme="1"/>
        <rFont val="Calibri"/>
        <family val="2"/>
        <charset val="204"/>
      </rPr>
      <t>²</t>
    </r>
  </si>
  <si>
    <t>Периметр одного проема, м</t>
  </si>
  <si>
    <t>Углы внешние</t>
  </si>
  <si>
    <t>Длинна одного угла, м</t>
  </si>
  <si>
    <t>Углы внутренние</t>
  </si>
  <si>
    <t>J-профиль</t>
  </si>
  <si>
    <t>Планка</t>
  </si>
  <si>
    <t>Параметр</t>
  </si>
  <si>
    <t>Старт</t>
  </si>
  <si>
    <t>Финиш</t>
  </si>
  <si>
    <t>L</t>
  </si>
  <si>
    <t>Фронтон</t>
  </si>
  <si>
    <r>
      <t>Ширина (b</t>
    </r>
    <r>
      <rPr>
        <i/>
        <vertAlign val="subscript"/>
        <sz val="14"/>
        <color theme="1"/>
        <rFont val="ISOCPEUR"/>
        <family val="2"/>
        <charset val="204"/>
      </rPr>
      <t>1</t>
    </r>
    <r>
      <rPr>
        <i/>
        <sz val="14"/>
        <color theme="1"/>
        <rFont val="ISOCPEUR"/>
        <family val="2"/>
        <charset val="204"/>
      </rPr>
      <t>), м</t>
    </r>
  </si>
  <si>
    <r>
      <t>Высота (h</t>
    </r>
    <r>
      <rPr>
        <i/>
        <vertAlign val="subscript"/>
        <sz val="14"/>
        <color theme="1"/>
        <rFont val="ISOCPEUR"/>
        <family val="2"/>
        <charset val="204"/>
      </rPr>
      <t>1</t>
    </r>
    <r>
      <rPr>
        <i/>
        <sz val="14"/>
        <color theme="1"/>
        <rFont val="ISOCPEUR"/>
        <family val="2"/>
        <charset val="204"/>
      </rPr>
      <t>), м</t>
    </r>
  </si>
  <si>
    <r>
      <t>Ширина (b</t>
    </r>
    <r>
      <rPr>
        <i/>
        <vertAlign val="subscript"/>
        <sz val="14"/>
        <color theme="1"/>
        <rFont val="ISOCPEUR"/>
        <family val="2"/>
        <charset val="204"/>
      </rPr>
      <t>2</t>
    </r>
    <r>
      <rPr>
        <i/>
        <sz val="14"/>
        <color theme="1"/>
        <rFont val="ISOCPEUR"/>
        <family val="2"/>
        <charset val="204"/>
      </rPr>
      <t>), м</t>
    </r>
  </si>
  <si>
    <r>
      <t>Высота (h</t>
    </r>
    <r>
      <rPr>
        <i/>
        <vertAlign val="subscript"/>
        <sz val="14"/>
        <color theme="1"/>
        <rFont val="ISOCPEUR"/>
        <family val="2"/>
        <charset val="204"/>
      </rPr>
      <t>2</t>
    </r>
    <r>
      <rPr>
        <i/>
        <sz val="14"/>
        <color theme="1"/>
        <rFont val="ISOCPEUR"/>
        <family val="2"/>
        <charset val="204"/>
      </rPr>
      <t>), м</t>
    </r>
  </si>
  <si>
    <t>Фронтоны</t>
  </si>
  <si>
    <r>
      <t>Площадь S</t>
    </r>
    <r>
      <rPr>
        <i/>
        <vertAlign val="subscript"/>
        <sz val="14"/>
        <color theme="1"/>
        <rFont val="ISOCPEUR"/>
        <family val="2"/>
        <charset val="204"/>
      </rPr>
      <t>1</t>
    </r>
    <r>
      <rPr>
        <i/>
        <sz val="14"/>
        <color theme="1"/>
        <rFont val="ISOCPEUR"/>
        <family val="2"/>
        <charset val="204"/>
      </rPr>
      <t>, м</t>
    </r>
    <r>
      <rPr>
        <sz val="14"/>
        <color theme="1"/>
        <rFont val="Calibri"/>
        <family val="2"/>
        <charset val="204"/>
      </rPr>
      <t>²</t>
    </r>
  </si>
  <si>
    <r>
      <t>Площадь S</t>
    </r>
    <r>
      <rPr>
        <i/>
        <vertAlign val="subscript"/>
        <sz val="14"/>
        <color theme="1"/>
        <rFont val="ISOCPEUR"/>
        <family val="2"/>
        <charset val="204"/>
      </rPr>
      <t>2</t>
    </r>
    <r>
      <rPr>
        <i/>
        <sz val="14"/>
        <color theme="1"/>
        <rFont val="ISOCPEUR"/>
        <family val="2"/>
        <charset val="204"/>
      </rPr>
      <t>, м</t>
    </r>
    <r>
      <rPr>
        <sz val="14"/>
        <color theme="1"/>
        <rFont val="Calibri"/>
        <family val="2"/>
        <charset val="204"/>
      </rPr>
      <t>²</t>
    </r>
  </si>
  <si>
    <r>
      <t>L</t>
    </r>
    <r>
      <rPr>
        <i/>
        <vertAlign val="subscript"/>
        <sz val="14"/>
        <color theme="1"/>
        <rFont val="ISOCPEUR"/>
        <family val="2"/>
        <charset val="204"/>
      </rPr>
      <t>1</t>
    </r>
  </si>
  <si>
    <r>
      <t>L</t>
    </r>
    <r>
      <rPr>
        <i/>
        <vertAlign val="subscript"/>
        <sz val="14"/>
        <color theme="1"/>
        <rFont val="ISOCPEUR"/>
        <family val="2"/>
        <charset val="204"/>
      </rPr>
      <t>2</t>
    </r>
  </si>
  <si>
    <r>
      <t>(S</t>
    </r>
    <r>
      <rPr>
        <i/>
        <vertAlign val="subscript"/>
        <sz val="14"/>
        <color theme="1"/>
        <rFont val="ISOCPEUR"/>
        <family val="2"/>
        <charset val="204"/>
      </rPr>
      <t>1</t>
    </r>
    <r>
      <rPr>
        <i/>
        <sz val="14"/>
        <color theme="1"/>
        <rFont val="ISOCPEUR"/>
        <family val="2"/>
        <charset val="204"/>
      </rPr>
      <t>+S</t>
    </r>
    <r>
      <rPr>
        <i/>
        <vertAlign val="subscript"/>
        <sz val="14"/>
        <color theme="1"/>
        <rFont val="ISOCPEUR"/>
        <family val="2"/>
        <charset val="204"/>
      </rPr>
      <t>2</t>
    </r>
    <r>
      <rPr>
        <i/>
        <sz val="14"/>
        <color theme="1"/>
        <rFont val="ISOCPEUR"/>
        <family val="2"/>
        <charset val="204"/>
      </rPr>
      <t>)</t>
    </r>
    <r>
      <rPr>
        <sz val="14"/>
        <color theme="1"/>
        <rFont val="Calibri"/>
        <family val="2"/>
        <charset val="204"/>
      </rPr>
      <t>×</t>
    </r>
    <r>
      <rPr>
        <i/>
        <sz val="14"/>
        <color theme="1"/>
        <rFont val="ISOCPEUR"/>
        <family val="2"/>
        <charset val="204"/>
      </rPr>
      <t>n, м²</t>
    </r>
  </si>
  <si>
    <r>
      <t>(L</t>
    </r>
    <r>
      <rPr>
        <i/>
        <vertAlign val="subscript"/>
        <sz val="14"/>
        <color theme="1"/>
        <rFont val="ISOCPEUR"/>
        <family val="2"/>
        <charset val="204"/>
      </rPr>
      <t>1</t>
    </r>
    <r>
      <rPr>
        <i/>
        <sz val="14"/>
        <color theme="1"/>
        <rFont val="ISOCPEUR"/>
        <family val="2"/>
        <charset val="204"/>
      </rPr>
      <t>+L</t>
    </r>
    <r>
      <rPr>
        <i/>
        <vertAlign val="subscript"/>
        <sz val="14"/>
        <color theme="1"/>
        <rFont val="ISOCPEUR"/>
        <family val="2"/>
        <charset val="204"/>
      </rPr>
      <t>2</t>
    </r>
    <r>
      <rPr>
        <i/>
        <sz val="14"/>
        <color theme="1"/>
        <rFont val="ISOCPEUR"/>
        <family val="2"/>
        <charset val="204"/>
      </rPr>
      <t>)</t>
    </r>
    <r>
      <rPr>
        <sz val="14"/>
        <color theme="1"/>
        <rFont val="Calibri"/>
        <family val="2"/>
        <charset val="204"/>
      </rPr>
      <t>×</t>
    </r>
    <r>
      <rPr>
        <i/>
        <sz val="14"/>
        <color theme="1"/>
        <rFont val="ISOCPEUR"/>
        <family val="2"/>
        <charset val="204"/>
      </rPr>
      <t>n, м</t>
    </r>
  </si>
  <si>
    <t>Планка FaSiding "J-trim" Т-15, 3,66м</t>
  </si>
  <si>
    <t>Планка FaSiding "білявіконна" Т-17, 3,05м</t>
  </si>
  <si>
    <t>Планка FaSiding "внутрішній кут" Т-13, 3,05м</t>
  </si>
  <si>
    <t>Планка FaSiding "з'єднувальна" Т-18, 3,05м</t>
  </si>
  <si>
    <t>Планка FaSiding "зовнішній кут" Т-12, 3,05м</t>
  </si>
  <si>
    <t>Планка FaSiding "навісна" Т-16, 3.66м</t>
  </si>
  <si>
    <t>Планка FaSiding "наличник" Т-09, 3,66м</t>
  </si>
  <si>
    <t>Планка FaSiding "окантовочна" Т-10, 3,66м</t>
  </si>
  <si>
    <t>Планка FaSiding "стартова" Т-11, 3,66м</t>
  </si>
  <si>
    <t>Планка FaSiding "фінішна" Т-14, 3,66м</t>
  </si>
  <si>
    <t>Соединительная планка</t>
  </si>
  <si>
    <t>Планка окантовочная</t>
  </si>
  <si>
    <t>J-профиль/окантовочная</t>
  </si>
  <si>
    <t>Навесная</t>
  </si>
  <si>
    <t>Навесная планка</t>
  </si>
  <si>
    <t>Единицы</t>
  </si>
  <si>
    <t>м²</t>
  </si>
  <si>
    <t>м</t>
  </si>
  <si>
    <t>Кол-во</t>
  </si>
  <si>
    <t>Наименование</t>
  </si>
  <si>
    <t>Параметр J-фаска</t>
  </si>
  <si>
    <t>Использовать J-фаску для окантовки оконного проема</t>
  </si>
  <si>
    <t>Навесная планка/бордюр</t>
  </si>
  <si>
    <t>Исходные данные</t>
  </si>
  <si>
    <t xml:space="preserve"> -</t>
  </si>
  <si>
    <t>ячейки для заполнения</t>
  </si>
  <si>
    <t>Общее количество материалов для облицовки фасадов</t>
  </si>
  <si>
    <t>Учитывать в расчете навесные планки (бордюр) над цоколем</t>
  </si>
  <si>
    <t>Результат</t>
  </si>
  <si>
    <t>Версия</t>
  </si>
  <si>
    <t>Планка VOX "Універсальна" 0,42м</t>
  </si>
  <si>
    <r>
      <t>Фасадна панель VOX 1</t>
    </r>
    <r>
      <rPr>
        <sz val="14"/>
        <color theme="1"/>
        <rFont val="Calibri"/>
        <family val="2"/>
        <charset val="204"/>
      </rPr>
      <t>×</t>
    </r>
    <r>
      <rPr>
        <i/>
        <sz val="14"/>
        <color theme="1"/>
        <rFont val="ISOCPEUR"/>
        <family val="2"/>
        <charset val="204"/>
      </rPr>
      <t>0,42 м</t>
    </r>
  </si>
  <si>
    <t>Планка VOX "Стартова" 3м</t>
  </si>
  <si>
    <t>Планка VOX "Фінішна" 3м</t>
  </si>
  <si>
    <t>Планка VOX "Зовнішній кут" 0,42м</t>
  </si>
  <si>
    <t>Панель з подвійним зламом VOX X3-01/плоска VOX X3-05</t>
  </si>
  <si>
    <t>Учитывать в расчете стартовые планки</t>
  </si>
  <si>
    <t>соединитель</t>
  </si>
  <si>
    <t>старт</t>
  </si>
  <si>
    <t>Окантовочная планка</t>
  </si>
  <si>
    <t>Окантовочная</t>
  </si>
  <si>
    <t>соед 1</t>
  </si>
  <si>
    <t>соед 2</t>
  </si>
  <si>
    <t>определение n2</t>
  </si>
  <si>
    <t>определение n1</t>
  </si>
  <si>
    <t>n</t>
  </si>
  <si>
    <t>множитель</t>
  </si>
  <si>
    <t>Длина примыкания, м</t>
  </si>
  <si>
    <t>Примыкание на одной плоскости к другому типу отделки фасада</t>
  </si>
  <si>
    <t>Примыкания</t>
  </si>
  <si>
    <t>количесво</t>
  </si>
  <si>
    <t>финиш</t>
  </si>
  <si>
    <t>только j</t>
  </si>
  <si>
    <t>Размер</t>
  </si>
  <si>
    <t>размер</t>
  </si>
  <si>
    <t>Количество</t>
  </si>
  <si>
    <t>вывод на экран</t>
  </si>
  <si>
    <r>
      <rPr>
        <b/>
        <i/>
        <sz val="14"/>
        <color rgb="FFFF0000"/>
        <rFont val="ISOCPEUR"/>
        <family val="2"/>
        <charset val="204"/>
      </rPr>
      <t>Количество</t>
    </r>
    <r>
      <rPr>
        <b/>
        <i/>
        <sz val="14"/>
        <rFont val="ISOCPEUR"/>
        <family val="2"/>
        <charset val="204"/>
      </rPr>
      <t xml:space="preserve">     </t>
    </r>
    <r>
      <rPr>
        <b/>
        <i/>
        <sz val="14"/>
        <color rgb="FFFF0000"/>
        <rFont val="ISOCPEUR"/>
        <family val="2"/>
        <charset val="204"/>
      </rPr>
      <t xml:space="preserve">ШТУК </t>
    </r>
    <r>
      <rPr>
        <b/>
        <i/>
        <sz val="14"/>
        <rFont val="ISOCPEUR"/>
        <family val="2"/>
        <charset val="204"/>
      </rPr>
      <t xml:space="preserve">         </t>
    </r>
  </si>
  <si>
    <t>Количество    м² (панели)  м.п. (планки)</t>
  </si>
  <si>
    <t xml:space="preserve">В расчете учтен запас 10% на панели и 5% на планки. </t>
  </si>
  <si>
    <t>1)  Нажимаем кнопку "Office"</t>
  </si>
  <si>
    <t>2)  Дальше жмем "Параметры Excel"</t>
  </si>
  <si>
    <t>3)  Откроется окно, в нем выбираем "Центр управления безопасностью", жмем</t>
  </si>
  <si>
    <t>4)  В открывшемся окне жмем на кнопку "Параметры центра управления безопасностью"</t>
  </si>
  <si>
    <t>5)  В открывшемся окне выбираем "Параметры макросов", жмем</t>
  </si>
  <si>
    <t>6) В открывшемся окне жмем выбираем пункт "Включить все макросы"</t>
  </si>
  <si>
    <t>7) Жмем "ОК"</t>
  </si>
  <si>
    <t>исправлен расчет на фронтоны</t>
  </si>
  <si>
    <t>Теплоизоляция из каменной ваты, м²</t>
  </si>
  <si>
    <t>Профиль для монтажа сайдинга, м.п.</t>
  </si>
  <si>
    <t>Профиль для монтажа</t>
  </si>
  <si>
    <t>Инструкция как включить макрос</t>
  </si>
  <si>
    <t xml:space="preserve">                Расчет сайдинга и фасадных панелей   </t>
  </si>
  <si>
    <t>Мембрана Ветробарьер, м²</t>
  </si>
  <si>
    <t xml:space="preserve">*в расчете площади наружных стен площадь оконных и дверных проемов не учитывается      </t>
  </si>
  <si>
    <t>фас панели</t>
  </si>
  <si>
    <t>Панель вінілова FaSiding Standart Т-01, 3,85м</t>
  </si>
  <si>
    <t>Сайдинг "FaSiding" Standart</t>
  </si>
  <si>
    <t>Сайдинг "FaSiding" BlockHouse</t>
  </si>
  <si>
    <t>Панель вінілова FaSiding BlockHouse BH-03, 3,85м</t>
  </si>
  <si>
    <t>KERRAFRONT FS201 горизонтальный монтаж</t>
  </si>
  <si>
    <t>KERRAFRONT FS201 вертикальный монтаж</t>
  </si>
  <si>
    <t>Панель KERRAFRONT FS201, 6м</t>
  </si>
  <si>
    <t>Планка J-trim FS251, 3м</t>
  </si>
  <si>
    <t>Планка стартовая FS211, 3м</t>
  </si>
  <si>
    <t>Планка угол универсальный FS222, 3м</t>
  </si>
  <si>
    <t>ИЛИ (на выбор) планка соединительная FS282, 3м</t>
  </si>
  <si>
    <t>ИЛИ (на выбор) планка соединительная J201, 181мм</t>
  </si>
  <si>
    <t>Монтажный винт Inox</t>
  </si>
  <si>
    <t>Планка финишная FS252 (можно заменить на FS 251), 3м</t>
  </si>
  <si>
    <t>Планка вентиляционная финишная FS262 (можно заменить на FS252), 3м</t>
  </si>
  <si>
    <t>Планка вентиляционная J-trim FS261 (можно заменить на FS251), 3м</t>
  </si>
  <si>
    <t>Планка VOX "J-Trim" S-15; 3,05м</t>
  </si>
  <si>
    <t>Планка VOX "білявіконна" S-17, біла, 3,05м</t>
  </si>
  <si>
    <t>Планка VOX "внутрішній кут" S-13, 3,05м</t>
  </si>
  <si>
    <t>Планка VOX "з'єднувальна" S-18, 3,05м</t>
  </si>
  <si>
    <t>Планка VOX "навісна" S-16, 3,81м</t>
  </si>
  <si>
    <t>Планка VOX "зовнішній кут" S-12, 3,05м</t>
  </si>
  <si>
    <t>Планка VOX "фінішна" S-14, 3,05м</t>
  </si>
  <si>
    <t>Планка VOX "фаска" S-19, біла, 3,05м</t>
  </si>
  <si>
    <t>Планка VOX "стартова" S-11, 3,05м</t>
  </si>
  <si>
    <t>Панель вінілова FaSiding WoodHouse, 3м</t>
  </si>
  <si>
    <t>Планка FaSiding "J-trim", 3,05м</t>
  </si>
  <si>
    <t>Планка FaSiding "білявіконна", 3,05м</t>
  </si>
  <si>
    <t>Планка FaSiding "внутрішній кут", 3,05м</t>
  </si>
  <si>
    <t>Планка FaSiding "з'єднувальна", 3,05м</t>
  </si>
  <si>
    <t>Планка FaSiding "зовнішній кут", 3,05м</t>
  </si>
  <si>
    <t>Планка FaSiding "навісна", 3.05м</t>
  </si>
  <si>
    <t>Планка FaSiding "стартова", 3,05м</t>
  </si>
  <si>
    <t>Планка FaSiding "фінішна", 3,05м</t>
  </si>
  <si>
    <t>Планка FaSiding "фаска", 3,05м</t>
  </si>
  <si>
    <t>Сайдинг "FaSiding" WoodHouse</t>
  </si>
  <si>
    <t>Планка FaSiding "фаска" Т-08, 3,0 м</t>
  </si>
  <si>
    <t>Планка FaSiding "фаска" Т-08, 3м</t>
  </si>
  <si>
    <t>SOLID BRICK И SOLID STONE "VOX"</t>
  </si>
  <si>
    <t>ОБРАТИТЕ ВНИМАНИЕ! Указанные ниже планки в разных цветах имеют разные размеры! Пересчитайте их количество вручную.                                                                                                           SYSTEM MAX-3   J-trim белого цвета - 3,81 м.п.                                                                     FaSiding Standart и BlockHouse в коричневом цвете для угла внешнего, планки финишной и околооконки 14см имеет размер 3 м.п.;                                                                                                                  околооконная планка 20см в белом цвете имеет размер 3м.п.</t>
  </si>
  <si>
    <t>SYSTEM MAX-3 "VOX" горизонтальный монтаж</t>
  </si>
  <si>
    <t>SYSTEM MAX-3 "VOX" вертикальный монтаж</t>
  </si>
  <si>
    <t>финиш вокс</t>
  </si>
  <si>
    <t>старт вокс</t>
  </si>
  <si>
    <t>ширина</t>
  </si>
  <si>
    <t>высота</t>
  </si>
  <si>
    <t>Планка фінішна вентиляційна FS-262, 3m</t>
  </si>
  <si>
    <t>Панель однопереломна FS-301, 6 х 0,32 = 1,92 м²</t>
  </si>
  <si>
    <t xml:space="preserve"> З'єднувальна планка FS-282, 3m</t>
  </si>
  <si>
    <t>Антрацит</t>
  </si>
  <si>
    <t xml:space="preserve"> Фінішна планка FS-252, 3м</t>
  </si>
  <si>
    <t>м.п.</t>
  </si>
  <si>
    <t>шт.</t>
  </si>
  <si>
    <t>Айвори</t>
  </si>
  <si>
    <t>Кут універсальний FS-222, 3м</t>
  </si>
  <si>
    <t>СТІНА</t>
  </si>
  <si>
    <t>ФРОНТОНИ</t>
  </si>
  <si>
    <t>можна заменить на  J-trim FS-251</t>
  </si>
  <si>
    <t xml:space="preserve"> включена одна панель чтобы хватило на облицовку откосов</t>
  </si>
  <si>
    <t>Фінішна планка FS-252, 3м</t>
  </si>
  <si>
    <t>для облицовки откосов,  можна заменить на J-trim FS-251</t>
  </si>
  <si>
    <t>для облицовки откосов,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</si>
</sst>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7" x14ac:knownFonts="1">
    <font>
      <sz val="11"/>
      <color theme="1"/>
      <name val="Calibri"/>
      <family val="2"/>
      <charset val="204"/>
      <scheme val="minor"/>
    </font>
    <font>
      <i/>
      <sz val="14"/>
      <color theme="1"/>
      <name val="ISOCPEUR"/>
      <family val="2"/>
      <charset val="204"/>
    </font>
    <font>
      <b/>
      <i/>
      <sz val="14"/>
      <color theme="1"/>
      <name val="ISOCPEUR"/>
      <family val="2"/>
      <charset val="204"/>
    </font>
    <font>
      <sz val="14"/>
      <color theme="1"/>
      <name val="Calibri"/>
      <family val="2"/>
      <charset val="204"/>
    </font>
    <font>
      <i/>
      <vertAlign val="subscript"/>
      <sz val="14"/>
      <color theme="1"/>
      <name val="ISOCPEUR"/>
      <family val="2"/>
      <charset val="204"/>
    </font>
    <font>
      <u/>
      <sz val="11"/>
      <color theme="10"/>
      <name val="Calibri"/>
      <family val="2"/>
      <charset val="204"/>
    </font>
    <font>
      <b/>
      <i/>
      <u/>
      <sz val="16"/>
      <color theme="10"/>
      <name val="ISOCPEUR"/>
      <family val="2"/>
      <charset val="204"/>
    </font>
    <font>
      <b/>
      <sz val="9"/>
      <color indexed="81"/>
      <name val="Tahoma"/>
      <family val="2"/>
      <charset val="204"/>
    </font>
    <font>
      <b/>
      <i/>
      <sz val="14"/>
      <color rgb="FFFF0000"/>
      <name val="ISOCPEUR"/>
      <family val="2"/>
      <charset val="204"/>
    </font>
    <font>
      <i/>
      <sz val="14"/>
      <color theme="1" tint="0.34998626667073579"/>
      <name val="ISOCPEUR"/>
      <family val="2"/>
      <charset val="204"/>
    </font>
    <font>
      <i/>
      <sz val="14"/>
      <color rgb="FFFF0000"/>
      <name val="ISOCPEUR"/>
      <family val="2"/>
      <charset val="204"/>
    </font>
    <font>
      <b/>
      <i/>
      <sz val="14"/>
      <name val="ISOCPEUR"/>
      <family val="2"/>
      <charset val="204"/>
    </font>
    <font>
      <b/>
      <i/>
      <sz val="14"/>
      <color theme="1" tint="0.34998626667073579"/>
      <name val="ISOCPEUR"/>
      <family val="2"/>
      <charset val="204"/>
    </font>
    <font>
      <sz val="8"/>
      <color rgb="FF000000"/>
      <name val="Tahoma"/>
      <family val="2"/>
      <charset val="204"/>
    </font>
    <font>
      <sz val="12"/>
      <color rgb="FF000000"/>
      <name val="Calibri"/>
      <family val="2"/>
      <charset val="204"/>
    </font>
    <font>
      <i/>
      <sz val="14"/>
      <name val="ISOCPEUR"/>
      <family val="2"/>
      <charset val="204"/>
    </font>
    <font>
      <b/>
      <sz val="11"/>
      <color theme="1"/>
      <name val="Calibri"/>
      <family val="2"/>
      <charset val="204"/>
      <scheme val="minor"/>
    </font>
  </fonts>
  <fills count="2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B05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>
      <alignment vertical="top"/>
      <protection locked="0"/>
    </xf>
  </cellStyleXfs>
  <cellXfs count="92">
    <xf numFmtId="0" fontId="0" fillId="0" borderId="0" xfId="0"/>
    <xf numFmtId="0" fontId="1" fillId="0" borderId="0" xfId="0" applyFont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0" fontId="2" fillId="5" borderId="0" xfId="0" applyFont="1" applyFill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2" fontId="1" fillId="0" borderId="1" xfId="0" applyNumberFormat="1" applyFont="1" applyBorder="1" applyAlignment="1">
      <alignment horizontal="center" vertical="center" wrapText="1"/>
    </xf>
    <xf numFmtId="0" fontId="1" fillId="0" borderId="1" xfId="0" applyFont="1" applyBorder="1" applyAlignment="1">
      <alignment horizontal="left" vertical="center" wrapText="1"/>
    </xf>
    <xf numFmtId="2" fontId="1" fillId="0" borderId="0" xfId="0" applyNumberFormat="1" applyFont="1" applyAlignment="1">
      <alignment horizontal="center" vertical="center" wrapText="1"/>
    </xf>
    <xf numFmtId="0" fontId="1" fillId="0" borderId="0" xfId="0" applyFont="1" applyAlignment="1">
      <alignment horizontal="left" vertical="center" wrapText="1"/>
    </xf>
    <xf numFmtId="0" fontId="1" fillId="6" borderId="0" xfId="0" applyFont="1" applyFill="1" applyAlignment="1">
      <alignment horizontal="center" vertical="center" wrapText="1"/>
    </xf>
    <xf numFmtId="0" fontId="1" fillId="7" borderId="0" xfId="0" applyFont="1" applyFill="1" applyAlignment="1">
      <alignment horizontal="center" vertical="center" wrapText="1"/>
    </xf>
    <xf numFmtId="0" fontId="1" fillId="0" borderId="5" xfId="0" applyFont="1" applyBorder="1" applyAlignment="1">
      <alignment vertical="center" wrapText="1"/>
    </xf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horizontal="left" vertical="center" wrapText="1"/>
    </xf>
    <xf numFmtId="0" fontId="1" fillId="0" borderId="7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1" fillId="4" borderId="2" xfId="0" applyFont="1" applyFill="1" applyBorder="1" applyAlignment="1">
      <alignment horizontal="center" vertical="center" wrapText="1"/>
    </xf>
    <xf numFmtId="2" fontId="2" fillId="2" borderId="3" xfId="0" applyNumberFormat="1" applyFont="1" applyFill="1" applyBorder="1" applyAlignment="1">
      <alignment horizontal="center" vertical="center" wrapText="1"/>
    </xf>
    <xf numFmtId="2" fontId="1" fillId="0" borderId="7" xfId="0" applyNumberFormat="1" applyFont="1" applyBorder="1" applyAlignment="1">
      <alignment horizontal="center" vertical="center" wrapText="1"/>
    </xf>
    <xf numFmtId="2" fontId="1" fillId="0" borderId="6" xfId="0" applyNumberFormat="1" applyFont="1" applyBorder="1" applyAlignment="1">
      <alignment horizontal="center" vertical="center" wrapText="1"/>
    </xf>
    <xf numFmtId="164" fontId="1" fillId="0" borderId="0" xfId="0" applyNumberFormat="1" applyFont="1" applyAlignment="1">
      <alignment horizontal="center" vertical="center" wrapText="1"/>
    </xf>
    <xf numFmtId="2" fontId="1" fillId="0" borderId="11" xfId="0" applyNumberFormat="1" applyFont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 wrapText="1"/>
    </xf>
    <xf numFmtId="0" fontId="1" fillId="9" borderId="0" xfId="0" applyFont="1" applyFill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1" fillId="0" borderId="11" xfId="0" applyFont="1" applyBorder="1" applyAlignment="1">
      <alignment horizontal="left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11" borderId="0" xfId="0" applyFont="1" applyFill="1" applyAlignment="1">
      <alignment horizontal="center" vertical="center" wrapText="1"/>
    </xf>
    <xf numFmtId="0" fontId="2" fillId="2" borderId="12" xfId="0" applyFont="1" applyFill="1" applyBorder="1" applyAlignment="1">
      <alignment horizontal="center" vertical="center" wrapText="1"/>
    </xf>
    <xf numFmtId="0" fontId="2" fillId="12" borderId="1" xfId="0" applyFont="1" applyFill="1" applyBorder="1" applyAlignment="1">
      <alignment horizontal="center" vertical="center" wrapText="1"/>
    </xf>
    <xf numFmtId="0" fontId="8" fillId="13" borderId="1" xfId="0" applyFont="1" applyFill="1" applyBorder="1" applyAlignment="1">
      <alignment horizontal="center" vertical="center" wrapText="1"/>
    </xf>
    <xf numFmtId="0" fontId="2" fillId="13" borderId="1" xfId="0" applyFont="1" applyFill="1" applyBorder="1" applyAlignment="1">
      <alignment horizontal="center" vertical="center" wrapText="1"/>
    </xf>
    <xf numFmtId="0" fontId="1" fillId="14" borderId="1" xfId="0" applyFont="1" applyFill="1" applyBorder="1" applyAlignment="1">
      <alignment horizontal="left" vertical="center" wrapText="1"/>
    </xf>
    <xf numFmtId="2" fontId="1" fillId="14" borderId="1" xfId="0" applyNumberFormat="1" applyFont="1" applyFill="1" applyBorder="1" applyAlignment="1">
      <alignment horizontal="center" vertical="center" wrapText="1"/>
    </xf>
    <xf numFmtId="0" fontId="2" fillId="15" borderId="1" xfId="0" applyFont="1" applyFill="1" applyBorder="1" applyAlignment="1">
      <alignment horizontal="center" vertical="center" wrapText="1"/>
    </xf>
    <xf numFmtId="0" fontId="1" fillId="2" borderId="0" xfId="0" applyFont="1" applyFill="1" applyAlignment="1">
      <alignment horizontal="center" vertical="center" wrapText="1"/>
    </xf>
    <xf numFmtId="2" fontId="1" fillId="2" borderId="0" xfId="0" applyNumberFormat="1" applyFont="1" applyFill="1" applyAlignment="1">
      <alignment horizontal="center" vertical="center" wrapText="1"/>
    </xf>
    <xf numFmtId="0" fontId="2" fillId="16" borderId="1" xfId="0" applyFont="1" applyFill="1" applyBorder="1" applyAlignment="1">
      <alignment horizontal="center" vertical="center" wrapText="1"/>
    </xf>
    <xf numFmtId="0" fontId="2" fillId="17" borderId="1" xfId="0" applyFont="1" applyFill="1" applyBorder="1" applyAlignment="1">
      <alignment horizontal="center" vertical="center" wrapText="1"/>
    </xf>
    <xf numFmtId="0" fontId="1" fillId="12" borderId="0" xfId="0" applyFont="1" applyFill="1" applyAlignment="1">
      <alignment horizontal="center" vertical="center" wrapText="1"/>
    </xf>
    <xf numFmtId="0" fontId="1" fillId="18" borderId="0" xfId="0" applyFont="1" applyFill="1" applyAlignment="1">
      <alignment horizontal="center" vertical="center" wrapText="1"/>
    </xf>
    <xf numFmtId="0" fontId="1" fillId="15" borderId="0" xfId="0" applyFont="1" applyFill="1" applyAlignment="1">
      <alignment horizontal="center" vertical="center" wrapText="1"/>
    </xf>
    <xf numFmtId="0" fontId="1" fillId="20" borderId="0" xfId="0" applyFont="1" applyFill="1" applyAlignment="1">
      <alignment horizontal="center" vertical="center" wrapText="1"/>
    </xf>
    <xf numFmtId="0" fontId="1" fillId="17" borderId="0" xfId="0" applyFont="1" applyFill="1" applyAlignment="1">
      <alignment horizontal="center" vertical="center" wrapText="1"/>
    </xf>
    <xf numFmtId="0" fontId="2" fillId="19" borderId="1" xfId="0" applyFont="1" applyFill="1" applyBorder="1" applyAlignment="1">
      <alignment horizontal="center" vertical="center" wrapText="1"/>
    </xf>
    <xf numFmtId="0" fontId="1" fillId="19" borderId="1" xfId="0" applyFont="1" applyFill="1" applyBorder="1" applyAlignment="1">
      <alignment horizontal="center" vertical="center" wrapText="1"/>
    </xf>
    <xf numFmtId="0" fontId="1" fillId="21" borderId="0" xfId="0" applyFont="1" applyFill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0" fontId="11" fillId="19" borderId="1" xfId="0" applyFont="1" applyFill="1" applyBorder="1" applyAlignment="1">
      <alignment horizontal="center" vertical="center" wrapText="1"/>
    </xf>
    <xf numFmtId="0" fontId="1" fillId="19" borderId="1" xfId="0" applyFont="1" applyFill="1" applyBorder="1" applyAlignment="1">
      <alignment horizontal="left" vertical="center" wrapText="1"/>
    </xf>
    <xf numFmtId="0" fontId="10" fillId="19" borderId="1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2" fontId="1" fillId="0" borderId="4" xfId="0" applyNumberFormat="1" applyFont="1" applyBorder="1" applyAlignment="1">
      <alignment horizontal="center" vertical="center" wrapText="1"/>
    </xf>
    <xf numFmtId="0" fontId="1" fillId="22" borderId="1" xfId="0" applyFont="1" applyFill="1" applyBorder="1" applyAlignment="1">
      <alignment horizontal="center" vertical="center" wrapText="1"/>
    </xf>
    <xf numFmtId="0" fontId="1" fillId="21" borderId="1" xfId="0" applyFont="1" applyFill="1" applyBorder="1" applyAlignment="1">
      <alignment horizontal="center" vertical="center" wrapText="1"/>
    </xf>
    <xf numFmtId="2" fontId="1" fillId="22" borderId="1" xfId="0" applyNumberFormat="1" applyFont="1" applyFill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10" fillId="0" borderId="1" xfId="0" applyFont="1" applyBorder="1" applyAlignment="1">
      <alignment horizontal="center" vertical="center" wrapText="1"/>
    </xf>
    <xf numFmtId="0" fontId="15" fillId="0" borderId="1" xfId="0" applyFont="1" applyBorder="1" applyAlignment="1">
      <alignment horizontal="left" vertical="center" wrapText="1"/>
    </xf>
    <xf numFmtId="2" fontId="1" fillId="3" borderId="1" xfId="0" applyNumberFormat="1" applyFont="1" applyFill="1" applyBorder="1" applyAlignment="1">
      <alignment horizontal="center" vertical="center" wrapText="1"/>
    </xf>
    <xf numFmtId="0" fontId="6" fillId="8" borderId="0" xfId="1" applyFont="1" applyFill="1" applyAlignment="1" applyProtection="1">
      <alignment horizontal="center" vertical="center" wrapText="1"/>
    </xf>
    <xf numFmtId="0" fontId="1" fillId="0" borderId="0" xfId="0" applyFont="1" applyAlignment="1">
      <alignment horizontal="left" vertical="top" wrapText="1"/>
    </xf>
    <xf numFmtId="0" fontId="2" fillId="0" borderId="0" xfId="0" applyFont="1" applyAlignment="1">
      <alignment horizontal="left" vertical="center" wrapText="1"/>
    </xf>
    <xf numFmtId="0" fontId="2" fillId="0" borderId="2" xfId="0" applyFont="1" applyBorder="1" applyAlignment="1">
      <alignment horizontal="left" vertical="center" wrapText="1"/>
    </xf>
    <xf numFmtId="0" fontId="8" fillId="0" borderId="5" xfId="0" applyFont="1" applyBorder="1" applyAlignment="1">
      <alignment horizontal="left" vertical="center" wrapText="1"/>
    </xf>
    <xf numFmtId="0" fontId="1" fillId="0" borderId="0" xfId="0" applyFont="1" applyAlignment="1">
      <alignment horizontal="left" vertical="center" wrapText="1"/>
    </xf>
    <xf numFmtId="0" fontId="1" fillId="0" borderId="5" xfId="0" applyFont="1" applyBorder="1" applyAlignment="1">
      <alignment horizontal="left" vertical="center" wrapText="1"/>
    </xf>
    <xf numFmtId="0" fontId="5" fillId="21" borderId="0" xfId="1" applyFill="1" applyAlignment="1" applyProtection="1">
      <alignment horizontal="center" vertical="center" wrapText="1"/>
    </xf>
    <xf numFmtId="2" fontId="9" fillId="9" borderId="11" xfId="0" applyNumberFormat="1" applyFont="1" applyFill="1" applyBorder="1" applyAlignment="1">
      <alignment horizontal="center" vertical="center" wrapText="1"/>
    </xf>
    <xf numFmtId="2" fontId="9" fillId="9" borderId="13" xfId="0" applyNumberFormat="1" applyFont="1" applyFill="1" applyBorder="1" applyAlignment="1">
      <alignment horizontal="center" vertical="center" wrapText="1"/>
    </xf>
    <xf numFmtId="2" fontId="9" fillId="9" borderId="6" xfId="0" applyNumberFormat="1" applyFont="1" applyFill="1" applyBorder="1" applyAlignment="1">
      <alignment horizontal="center" vertical="center" wrapText="1"/>
    </xf>
    <xf numFmtId="14" fontId="1" fillId="0" borderId="0" xfId="0" applyNumberFormat="1" applyFont="1" applyAlignment="1">
      <alignment horizontal="left" vertical="center" wrapText="1"/>
    </xf>
    <xf numFmtId="0" fontId="2" fillId="19" borderId="11" xfId="0" applyFont="1" applyFill="1" applyBorder="1" applyAlignment="1">
      <alignment horizontal="center" vertical="center" wrapText="1"/>
    </xf>
    <xf numFmtId="0" fontId="2" fillId="19" borderId="13" xfId="0" applyFont="1" applyFill="1" applyBorder="1" applyAlignment="1">
      <alignment horizontal="center" vertical="center" wrapText="1"/>
    </xf>
    <xf numFmtId="0" fontId="2" fillId="19" borderId="6" xfId="0" applyFont="1" applyFill="1" applyBorder="1" applyAlignment="1">
      <alignment horizontal="center" vertical="center" wrapText="1"/>
    </xf>
    <xf numFmtId="0" fontId="12" fillId="9" borderId="11" xfId="0" applyFont="1" applyFill="1" applyBorder="1" applyAlignment="1">
      <alignment horizontal="center" vertical="center" wrapText="1"/>
    </xf>
    <xf numFmtId="0" fontId="12" fillId="9" borderId="13" xfId="0" applyFont="1" applyFill="1" applyBorder="1" applyAlignment="1">
      <alignment horizontal="center" vertical="center" wrapText="1"/>
    </xf>
    <xf numFmtId="0" fontId="12" fillId="9" borderId="6" xfId="0" applyFont="1" applyFill="1" applyBorder="1" applyAlignment="1">
      <alignment horizontal="center" vertical="center" wrapText="1"/>
    </xf>
    <xf numFmtId="0" fontId="1" fillId="14" borderId="0" xfId="0" applyFont="1" applyFill="1" applyAlignment="1">
      <alignment horizontal="left" vertical="top" wrapText="1"/>
    </xf>
    <xf numFmtId="0" fontId="16" fillId="2" borderId="1" xfId="0" applyFont="1" applyFill="1" applyBorder="1"/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16" fillId="23" borderId="2" xfId="0" applyFont="1" applyFill="1" applyBorder="1" applyAlignment="1">
      <alignment horizontal="center"/>
    </xf>
  </cellXfs>
  <cellStyles count="2">
    <cellStyle name="Гіперпосилання" xfId="1" builtinId="8"/>
    <cellStyle name="Звичайний" xfId="0" builtinId="0"/>
  </cellStyles>
  <dxfs count="0"/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Drop" dropStyle="combo" dx="16" fmlaLink="Программа!$E$19" fmlaRange="Программа!$B$3:$B$15" noThreeD="1" sel="1" val="0"/>
</file>

<file path=xl/ctrlProps/ctrlProp2.xml><?xml version="1.0" encoding="utf-8"?>
<formControlPr xmlns="http://schemas.microsoft.com/office/spreadsheetml/2009/9/main" objectType="Drop" dropStyle="combo" dx="16" fmlaLink="Программа!$E$20" fmlaRange="Программа!$B$3:$B$15" noThreeD="1" sel="1" val="0"/>
</file>

<file path=xl/ctrlProps/ctrlProp3.xml><?xml version="1.0" encoding="utf-8"?>
<formControlPr xmlns="http://schemas.microsoft.com/office/spreadsheetml/2009/9/main" objectType="Drop" dropStyle="combo" dx="16" fmlaLink="Программа!$E$21" fmlaRange="Программа!$B$3:$B$15" noThreeD="1" sel="1" val="0"/>
</file>

<file path=xl/ctrlProps/ctrlProp4.xml><?xml version="1.0" encoding="utf-8"?>
<formControlPr xmlns="http://schemas.microsoft.com/office/spreadsheetml/2009/9/main" objectType="Drop" dropStyle="combo" dx="16" fmlaLink="Программа!$E$22" fmlaRange="Программа!$B$3:$B$15" noThreeD="1" sel="2" val="0"/>
</file>

<file path=xl/ctrlProps/ctrlProp5.xml><?xml version="1.0" encoding="utf-8"?>
<formControlPr xmlns="http://schemas.microsoft.com/office/spreadsheetml/2009/9/main" objectType="Drop" dropStyle="combo" dx="16" fmlaLink="Программа!$E$23" fmlaRange="Программа!$B$3:$B$15" noThreeD="1" sel="2" val="0"/>
</file>

<file path=xl/ctrlProps/ctrlProp6.xml><?xml version="1.0" encoding="utf-8"?>
<formControlPr xmlns="http://schemas.microsoft.com/office/spreadsheetml/2009/9/main" objectType="Drop" dropStyle="combo" dx="16" fmlaLink="Программа!$E$24" fmlaRange="Программа!$B$3:$B$15" noThreeD="1" sel="1" val="0"/>
</file>

<file path=xl/ctrlProps/ctrlProp7.xml><?xml version="1.0" encoding="utf-8"?>
<formControlPr xmlns="http://schemas.microsoft.com/office/spreadsheetml/2009/9/main" objectType="Drop" dropStyle="combo" dx="16" fmlaLink="Программа!$E$25" fmlaRange="Программа!$B$3:$B$15" noThreeD="1" sel="1" val="0"/>
</file>

<file path=xl/ctrlProps/ctrlProp8.xml><?xml version="1.0" encoding="utf-8"?>
<formControlPr xmlns="http://schemas.microsoft.com/office/spreadsheetml/2009/9/main" objectType="Drop" dropStyle="combo" dx="16" fmlaLink="Программа!$E$26" fmlaRange="Программа!$B$3:$B$15" noThreeD="1" sel="1" val="0"/>
</file>

<file path=xl/ctrlProps/ctrlProp9.xml><?xml version="1.0" encoding="utf-8"?>
<formControlPr xmlns="http://schemas.microsoft.com/office/spreadsheetml/2009/9/main" objectType="Drop" dropStyle="combo" dx="16" fmlaLink="Программа!$E$27" fmlaRange="Программа!$B$3:$B$15" noThreeD="1" sel="1" val="0"/>
</file>

<file path=xl/ctrlProps/ctrlProp10.xml><?xml version="1.0" encoding="utf-8"?>
<formControlPr xmlns="http://schemas.microsoft.com/office/spreadsheetml/2009/9/main" objectType="Drop" dropStyle="combo" dx="16" fmlaLink="Программа!$E$28" fmlaRange="Программа!$B$3:$B$15" noThreeD="1" sel="1" val="0"/>
</file>

<file path=xl/ctrlProps/ctrlProp11.xml><?xml version="1.0" encoding="utf-8"?>
<formControlPr xmlns="http://schemas.microsoft.com/office/spreadsheetml/2009/9/main" objectType="Drop" dropStyle="combo" dx="16" fmlaLink="Программа!$F$42" fmlaRange="Программа!$B$3:$B$15" noThreeD="1" sel="1" val="0"/>
</file>

<file path=xl/ctrlProps/ctrlProp12.xml><?xml version="1.0" encoding="utf-8"?>
<formControlPr xmlns="http://schemas.microsoft.com/office/spreadsheetml/2009/9/main" objectType="Drop" dropStyle="combo" dx="16" fmlaLink="Программа!$F$43" fmlaRange="Программа!$B$3:$B$15" noThreeD="1" sel="1" val="0"/>
</file>

<file path=xl/ctrlProps/ctrlProp13.xml><?xml version="1.0" encoding="utf-8"?>
<formControlPr xmlns="http://schemas.microsoft.com/office/spreadsheetml/2009/9/main" objectType="Drop" dropStyle="combo" dx="16" fmlaLink="Программа!$F$44" fmlaRange="Программа!$B$3:$B$15" noThreeD="1" sel="1" val="0"/>
</file>

<file path=xl/ctrlProps/ctrlProp14.xml><?xml version="1.0" encoding="utf-8"?>
<formControlPr xmlns="http://schemas.microsoft.com/office/spreadsheetml/2009/9/main" objectType="Drop" dropStyle="combo" dx="16" fmlaLink="Программа!$F$45" fmlaRange="Программа!$B$3:$B$15" noThreeD="1" sel="2" val="0"/>
</file>

<file path=xl/ctrlProps/ctrlProp15.xml><?xml version="1.0" encoding="utf-8"?>
<formControlPr xmlns="http://schemas.microsoft.com/office/spreadsheetml/2009/9/main" objectType="Drop" dropStyle="combo" dx="16" fmlaLink="Программа!$F$46" fmlaRange="Программа!$B$3:$B$15" noThreeD="1" sel="2" val="0"/>
</file>

<file path=xl/ctrlProps/ctrlProp16.xml><?xml version="1.0" encoding="utf-8"?>
<formControlPr xmlns="http://schemas.microsoft.com/office/spreadsheetml/2009/9/main" objectType="Drop" dropStyle="combo" dx="16" fmlaLink="Программа!$F$47" fmlaRange="Программа!$B$3:$B$15" noThreeD="1" sel="2" val="0"/>
</file>

<file path=xl/ctrlProps/ctrlProp17.xml><?xml version="1.0" encoding="utf-8"?>
<formControlPr xmlns="http://schemas.microsoft.com/office/spreadsheetml/2009/9/main" objectType="Drop" dropStyle="combo" dx="16" fmlaLink="Программа!$F$48" fmlaRange="Программа!$B$3:$B$15" noThreeD="1" sel="1" val="0"/>
</file>

<file path=xl/ctrlProps/ctrlProp18.xml><?xml version="1.0" encoding="utf-8"?>
<formControlPr xmlns="http://schemas.microsoft.com/office/spreadsheetml/2009/9/main" objectType="Drop" dropStyle="combo" dx="16" fmlaLink="Программа!$F$49" fmlaRange="Программа!$B$3:$B$15" noThreeD="1" sel="1" val="0"/>
</file>

<file path=xl/ctrlProps/ctrlProp19.xml><?xml version="1.0" encoding="utf-8"?>
<formControlPr xmlns="http://schemas.microsoft.com/office/spreadsheetml/2009/9/main" objectType="Drop" dropStyle="combo" dx="16" fmlaLink="Программа!$F$50" fmlaRange="Программа!$B$3:$B$15" noThreeD="1" sel="1" val="0"/>
</file>

<file path=xl/ctrlProps/ctrlProp20.xml><?xml version="1.0" encoding="utf-8"?>
<formControlPr xmlns="http://schemas.microsoft.com/office/spreadsheetml/2009/9/main" objectType="Drop" dropStyle="combo" dx="16" fmlaLink="Программа!$F$51" fmlaRange="Программа!$B$3:$B$15" noThreeD="1" sel="1" val="0"/>
</file>

<file path=xl/ctrlProps/ctrlProp21.xml><?xml version="1.0" encoding="utf-8"?>
<formControlPr xmlns="http://schemas.microsoft.com/office/spreadsheetml/2009/9/main" objectType="Drop" dropStyle="combo" dx="16" fmlaLink="Программа!$F$56" fmlaRange="Программа!$B$3:$B$15" noThreeD="1" sel="1" val="0"/>
</file>

<file path=xl/ctrlProps/ctrlProp22.xml><?xml version="1.0" encoding="utf-8"?>
<formControlPr xmlns="http://schemas.microsoft.com/office/spreadsheetml/2009/9/main" objectType="Drop" dropStyle="combo" dx="16" fmlaLink="Программа!$F$57" fmlaRange="Программа!$B$3:$B$15" noThreeD="1" sel="2" val="0"/>
</file>

<file path=xl/ctrlProps/ctrlProp23.xml><?xml version="1.0" encoding="utf-8"?>
<formControlPr xmlns="http://schemas.microsoft.com/office/spreadsheetml/2009/9/main" objectType="Drop" dropStyle="combo" dx="16" fmlaLink="Программа!$F$58" fmlaRange="Программа!$B$3:$B$15" noThreeD="1" sel="1" val="0"/>
</file>

<file path=xl/ctrlProps/ctrlProp24.xml><?xml version="1.0" encoding="utf-8"?>
<formControlPr xmlns="http://schemas.microsoft.com/office/spreadsheetml/2009/9/main" objectType="Drop" dropStyle="combo" dx="16" fmlaLink="Программа!$F$59" fmlaRange="Программа!$B$3:$B$15" noThreeD="1" sel="1" val="0"/>
</file>

<file path=xl/ctrlProps/ctrlProp25.xml><?xml version="1.0" encoding="utf-8"?>
<formControlPr xmlns="http://schemas.microsoft.com/office/spreadsheetml/2009/9/main" objectType="Drop" dropStyle="combo" dx="16" fmlaLink="Программа!$F$60" fmlaRange="Программа!$B$3:$B$15" noThreeD="1" sel="1" val="0"/>
</file>

<file path=xl/ctrlProps/ctrlProp26.xml><?xml version="1.0" encoding="utf-8"?>
<formControlPr xmlns="http://schemas.microsoft.com/office/spreadsheetml/2009/9/main" objectType="Drop" dropStyle="combo" dx="16" fmlaLink="Программа!$F$65" fmlaRange="Программа!$B$3:$B$15" noThreeD="1" sel="1" val="0"/>
</file>

<file path=xl/ctrlProps/ctrlProp27.xml><?xml version="1.0" encoding="utf-8"?>
<formControlPr xmlns="http://schemas.microsoft.com/office/spreadsheetml/2009/9/main" objectType="Drop" dropStyle="combo" dx="16" fmlaLink="Программа!$F$66" fmlaRange="Программа!$B$3:$B$15" noThreeD="1" sel="1" val="0"/>
</file>

<file path=xl/ctrlProps/ctrlProp28.xml><?xml version="1.0" encoding="utf-8"?>
<formControlPr xmlns="http://schemas.microsoft.com/office/spreadsheetml/2009/9/main" objectType="Drop" dropStyle="combo" dx="16" fmlaLink="Программа!$F$67" fmlaRange="Программа!$B$3:$B$15" noThreeD="1" sel="1" val="0"/>
</file>

<file path=xl/ctrlProps/ctrlProp29.xml><?xml version="1.0" encoding="utf-8"?>
<formControlPr xmlns="http://schemas.microsoft.com/office/spreadsheetml/2009/9/main" objectType="Drop" dropStyle="combo" dx="16" fmlaLink="Программа!$F$68" fmlaRange="Программа!$B$3:$B$15" noThreeD="1" sel="1" val="0"/>
</file>

<file path=xl/ctrlProps/ctrlProp30.xml><?xml version="1.0" encoding="utf-8"?>
<formControlPr xmlns="http://schemas.microsoft.com/office/spreadsheetml/2009/9/main" objectType="Drop" dropStyle="combo" dx="16" fmlaLink="Программа!$F$69" fmlaRange="Программа!$B$3:$B$15" noThreeD="1" sel="1" val="0"/>
</file>

<file path=xl/ctrlProps/ctrlProp31.xml><?xml version="1.0" encoding="utf-8"?>
<formControlPr xmlns="http://schemas.microsoft.com/office/spreadsheetml/2009/9/main" objectType="Drop" dropStyle="combo" dx="16" fmlaLink="Программа!$E$74" fmlaRange="Программа!$B$3:$B$15" noThreeD="1" sel="6" val="3"/>
</file>

<file path=xl/ctrlProps/ctrlProp32.xml><?xml version="1.0" encoding="utf-8"?>
<formControlPr xmlns="http://schemas.microsoft.com/office/spreadsheetml/2009/9/main" objectType="Drop" dropStyle="combo" dx="16" fmlaLink="Программа!$E$75" fmlaRange="Программа!$B$3:$B$15" noThreeD="1" sel="2" val="0"/>
</file>

<file path=xl/ctrlProps/ctrlProp33.xml><?xml version="1.0" encoding="utf-8"?>
<formControlPr xmlns="http://schemas.microsoft.com/office/spreadsheetml/2009/9/main" objectType="Drop" dropStyle="combo" dx="16" fmlaLink="Программа!$E$76" fmlaRange="Программа!$B$3:$B$15" noThreeD="1" sel="1" val="0"/>
</file>

<file path=xl/ctrlProps/ctrlProp34.xml><?xml version="1.0" encoding="utf-8"?>
<formControlPr xmlns="http://schemas.microsoft.com/office/spreadsheetml/2009/9/main" objectType="Drop" dropStyle="combo" dx="16" fmlaLink="Программа!$E$77" fmlaRange="Программа!$B$3:$B$15" noThreeD="1" sel="1" val="0"/>
</file>

<file path=xl/ctrlProps/ctrlProp35.xml><?xml version="1.0" encoding="utf-8"?>
<formControlPr xmlns="http://schemas.microsoft.com/office/spreadsheetml/2009/9/main" objectType="Drop" dropStyle="combo" dx="16" fmlaLink="Программа!$E$78" fmlaRange="Программа!$B$3:$B$15" noThreeD="1" sel="1" val="0"/>
</file>

<file path=xl/ctrlProps/ctrlProp36.xml><?xml version="1.0" encoding="utf-8"?>
<formControlPr xmlns="http://schemas.microsoft.com/office/spreadsheetml/2009/9/main" objectType="Drop" dropStyle="combo" dx="16" fmlaLink="Программа!$E$83" fmlaRange="Программа!$B$3:$B$15" noThreeD="1" sel="2" val="0"/>
</file>

<file path=xl/ctrlProps/ctrlProp37.xml><?xml version="1.0" encoding="utf-8"?>
<formControlPr xmlns="http://schemas.microsoft.com/office/spreadsheetml/2009/9/main" objectType="Drop" dropStyle="combo" dx="16" fmlaLink="Программа!$E$84" fmlaRange="Программа!$B$3:$B$15" noThreeD="1" sel="1" val="0"/>
</file>

<file path=xl/ctrlProps/ctrlProp38.xml><?xml version="1.0" encoding="utf-8"?>
<formControlPr xmlns="http://schemas.microsoft.com/office/spreadsheetml/2009/9/main" objectType="Drop" dropStyle="combo" dx="16" fmlaLink="Программа!$E$85" fmlaRange="Программа!$B$3:$B$15" noThreeD="1" sel="1" val="0"/>
</file>

<file path=xl/ctrlProps/ctrlProp39.xml><?xml version="1.0" encoding="utf-8"?>
<formControlPr xmlns="http://schemas.microsoft.com/office/spreadsheetml/2009/9/main" objectType="Drop" dropStyle="combo" dx="16" fmlaLink="Программа!$E$86" fmlaRange="Программа!$B$3:$B$15" noThreeD="1" sel="1" val="0"/>
</file>

<file path=xl/ctrlProps/ctrlProp40.xml><?xml version="1.0" encoding="utf-8"?>
<formControlPr xmlns="http://schemas.microsoft.com/office/spreadsheetml/2009/9/main" objectType="Drop" dropStyle="combo" dx="16" fmlaLink="Программа!$E$87" fmlaRange="Программа!$B$3:$B$15" noThreeD="1" sel="1" val="0"/>
</file>

<file path=xl/ctrlProps/ctrlProp41.xml><?xml version="1.0" encoding="utf-8"?>
<formControlPr xmlns="http://schemas.microsoft.com/office/spreadsheetml/2009/9/main" objectType="CheckBox" fmlaLink="Программа!$L$42" lockText="1" noThreeD="1"/>
</file>

<file path=xl/ctrlProps/ctrlProp42.xml><?xml version="1.0" encoding="utf-8"?>
<formControlPr xmlns="http://schemas.microsoft.com/office/spreadsheetml/2009/9/main" objectType="CheckBox" fmlaLink="Программа!$L$43" lockText="1" noThreeD="1"/>
</file>

<file path=xl/ctrlProps/ctrlProp43.xml><?xml version="1.0" encoding="utf-8"?>
<formControlPr xmlns="http://schemas.microsoft.com/office/spreadsheetml/2009/9/main" objectType="CheckBox" fmlaLink="Программа!$L$44" lockText="1" noThreeD="1"/>
</file>

<file path=xl/ctrlProps/ctrlProp44.xml><?xml version="1.0" encoding="utf-8"?>
<formControlPr xmlns="http://schemas.microsoft.com/office/spreadsheetml/2009/9/main" objectType="CheckBox" fmlaLink="Программа!$L$45" lockText="1" noThreeD="1"/>
</file>

<file path=xl/ctrlProps/ctrlProp45.xml><?xml version="1.0" encoding="utf-8"?>
<formControlPr xmlns="http://schemas.microsoft.com/office/spreadsheetml/2009/9/main" objectType="CheckBox" fmlaLink="Программа!$L$46" lockText="1" noThreeD="1"/>
</file>

<file path=xl/ctrlProps/ctrlProp46.xml><?xml version="1.0" encoding="utf-8"?>
<formControlPr xmlns="http://schemas.microsoft.com/office/spreadsheetml/2009/9/main" objectType="CheckBox" fmlaLink="Программа!$L$47" lockText="1" noThreeD="1"/>
</file>

<file path=xl/ctrlProps/ctrlProp47.xml><?xml version="1.0" encoding="utf-8"?>
<formControlPr xmlns="http://schemas.microsoft.com/office/spreadsheetml/2009/9/main" objectType="CheckBox" fmlaLink="Программа!$L$48" lockText="1" noThreeD="1"/>
</file>

<file path=xl/ctrlProps/ctrlProp48.xml><?xml version="1.0" encoding="utf-8"?>
<formControlPr xmlns="http://schemas.microsoft.com/office/spreadsheetml/2009/9/main" objectType="CheckBox" fmlaLink="Программа!$L$49" lockText="1" noThreeD="1"/>
</file>

<file path=xl/ctrlProps/ctrlProp49.xml><?xml version="1.0" encoding="utf-8"?>
<formControlPr xmlns="http://schemas.microsoft.com/office/spreadsheetml/2009/9/main" objectType="CheckBox" checked="Checked" fmlaLink="Программа!$L$50" lockText="1" noThreeD="1"/>
</file>

<file path=xl/ctrlProps/ctrlProp50.xml><?xml version="1.0" encoding="utf-8"?>
<formControlPr xmlns="http://schemas.microsoft.com/office/spreadsheetml/2009/9/main" objectType="CheckBox" fmlaLink="Программа!$L$51" lockText="1" noThreeD="1"/>
</file>

<file path=xl/ctrlProps/ctrlProp51.xml><?xml version="1.0" encoding="utf-8"?>
<formControlPr xmlns="http://schemas.microsoft.com/office/spreadsheetml/2009/9/main" objectType="CheckBox" checked="Checked" fmlaLink="Программа!$L$56" lockText="1" noThreeD="1"/>
</file>

<file path=xl/ctrlProps/ctrlProp52.xml><?xml version="1.0" encoding="utf-8"?>
<formControlPr xmlns="http://schemas.microsoft.com/office/spreadsheetml/2009/9/main" objectType="CheckBox" checked="Checked" fmlaLink="Программа!$L$57" lockText="1" noThreeD="1"/>
</file>

<file path=xl/ctrlProps/ctrlProp53.xml><?xml version="1.0" encoding="utf-8"?>
<formControlPr xmlns="http://schemas.microsoft.com/office/spreadsheetml/2009/9/main" objectType="CheckBox" fmlaLink="Программа!$L$58" lockText="1" noThreeD="1"/>
</file>

<file path=xl/ctrlProps/ctrlProp54.xml><?xml version="1.0" encoding="utf-8"?>
<formControlPr xmlns="http://schemas.microsoft.com/office/spreadsheetml/2009/9/main" objectType="CheckBox" fmlaLink="Программа!$L$59" lockText="1" noThreeD="1"/>
</file>

<file path=xl/ctrlProps/ctrlProp55.xml><?xml version="1.0" encoding="utf-8"?>
<formControlPr xmlns="http://schemas.microsoft.com/office/spreadsheetml/2009/9/main" objectType="CheckBox" fmlaLink="Программа!$L$60" lockText="1" noThreeD="1"/>
</file>

<file path=xl/ctrlProps/ctrlProp56.xml><?xml version="1.0" encoding="utf-8"?>
<formControlPr xmlns="http://schemas.microsoft.com/office/spreadsheetml/2009/9/main" objectType="CheckBox" fmlaLink="Программа!$L$65" lockText="1" noThreeD="1"/>
</file>

<file path=xl/ctrlProps/ctrlProp57.xml><?xml version="1.0" encoding="utf-8"?>
<formControlPr xmlns="http://schemas.microsoft.com/office/spreadsheetml/2009/9/main" objectType="CheckBox" fmlaLink="Программа!$L$66" lockText="1" noThreeD="1"/>
</file>

<file path=xl/ctrlProps/ctrlProp58.xml><?xml version="1.0" encoding="utf-8"?>
<formControlPr xmlns="http://schemas.microsoft.com/office/spreadsheetml/2009/9/main" objectType="CheckBox" fmlaLink="Программа!$L$67" lockText="1" noThreeD="1"/>
</file>

<file path=xl/ctrlProps/ctrlProp59.xml><?xml version="1.0" encoding="utf-8"?>
<formControlPr xmlns="http://schemas.microsoft.com/office/spreadsheetml/2009/9/main" objectType="CheckBox" fmlaLink="Программа!$L$68" lockText="1" noThreeD="1"/>
</file>

<file path=xl/ctrlProps/ctrlProp60.xml><?xml version="1.0" encoding="utf-8"?>
<formControlPr xmlns="http://schemas.microsoft.com/office/spreadsheetml/2009/9/main" objectType="CheckBox" fmlaLink="Программа!$L$69" lockText="1" noThreeD="1"/>
</file>

<file path=xl/ctrlProps/ctrlProp61.xml><?xml version="1.0" encoding="utf-8"?>
<formControlPr xmlns="http://schemas.microsoft.com/office/spreadsheetml/2009/9/main" objectType="CheckBox" fmlaLink="Программа!$I$74" lockText="1" noThreeD="1"/>
</file>

<file path=xl/ctrlProps/ctrlProp62.xml><?xml version="1.0" encoding="utf-8"?>
<formControlPr xmlns="http://schemas.microsoft.com/office/spreadsheetml/2009/9/main" objectType="CheckBox" fmlaLink="Программа!$I$75" lockText="1" noThreeD="1"/>
</file>

<file path=xl/ctrlProps/ctrlProp63.xml><?xml version="1.0" encoding="utf-8"?>
<formControlPr xmlns="http://schemas.microsoft.com/office/spreadsheetml/2009/9/main" objectType="CheckBox" fmlaLink="Программа!$I$76" lockText="1" noThreeD="1"/>
</file>

<file path=xl/ctrlProps/ctrlProp64.xml><?xml version="1.0" encoding="utf-8"?>
<formControlPr xmlns="http://schemas.microsoft.com/office/spreadsheetml/2009/9/main" objectType="CheckBox" fmlaLink="Программа!$I$77" lockText="1" noThreeD="1"/>
</file>

<file path=xl/ctrlProps/ctrlProp65.xml><?xml version="1.0" encoding="utf-8"?>
<formControlPr xmlns="http://schemas.microsoft.com/office/spreadsheetml/2009/9/main" objectType="CheckBox" fmlaLink="Программа!$I$78" lockText="1" noThreeD="1"/>
</file>

<file path=xl/ctrlProps/ctrlProp66.xml><?xml version="1.0" encoding="utf-8"?>
<formControlPr xmlns="http://schemas.microsoft.com/office/spreadsheetml/2009/9/main" objectType="CheckBox" fmlaLink="Программа!$I$83" lockText="1" noThreeD="1"/>
</file>

<file path=xl/ctrlProps/ctrlProp67.xml><?xml version="1.0" encoding="utf-8"?>
<formControlPr xmlns="http://schemas.microsoft.com/office/spreadsheetml/2009/9/main" objectType="CheckBox" fmlaLink="Программа!$I$84" lockText="1" noThreeD="1"/>
</file>

<file path=xl/ctrlProps/ctrlProp68.xml><?xml version="1.0" encoding="utf-8"?>
<formControlPr xmlns="http://schemas.microsoft.com/office/spreadsheetml/2009/9/main" objectType="CheckBox" fmlaLink="Программа!$I$85" lockText="1" noThreeD="1"/>
</file>

<file path=xl/ctrlProps/ctrlProp69.xml><?xml version="1.0" encoding="utf-8"?>
<formControlPr xmlns="http://schemas.microsoft.com/office/spreadsheetml/2009/9/main" objectType="CheckBox" fmlaLink="Программа!$I$86" lockText="1" noThreeD="1"/>
</file>

<file path=xl/ctrlProps/ctrlProp70.xml><?xml version="1.0" encoding="utf-8"?>
<formControlPr xmlns="http://schemas.microsoft.com/office/spreadsheetml/2009/9/main" objectType="CheckBox" fmlaLink="Программа!$I$87" lockText="1" noThreeD="1"/>
</file>

<file path=xl/ctrlProps/ctrlProp71.xml><?xml version="1.0" encoding="utf-8"?>
<formControlPr xmlns="http://schemas.microsoft.com/office/spreadsheetml/2009/9/main" objectType="CheckBox" checked="Checked" fmlaLink="Программа!$L$19" lockText="1" noThreeD="1"/>
</file>

<file path=xl/ctrlProps/ctrlProp72.xml><?xml version="1.0" encoding="utf-8"?>
<formControlPr xmlns="http://schemas.microsoft.com/office/spreadsheetml/2009/9/main" objectType="CheckBox" checked="Checked" fmlaLink="Программа!$L$20" lockText="1" noThreeD="1"/>
</file>

<file path=xl/ctrlProps/ctrlProp73.xml><?xml version="1.0" encoding="utf-8"?>
<formControlPr xmlns="http://schemas.microsoft.com/office/spreadsheetml/2009/9/main" objectType="CheckBox" checked="Checked" fmlaLink="Программа!$L$21" lockText="1" noThreeD="1"/>
</file>

<file path=xl/ctrlProps/ctrlProp74.xml><?xml version="1.0" encoding="utf-8"?>
<formControlPr xmlns="http://schemas.microsoft.com/office/spreadsheetml/2009/9/main" objectType="CheckBox" fmlaLink="Программа!$L$45" lockText="1" noThreeD="1"/>
</file>

<file path=xl/ctrlProps/ctrlProp75.xml><?xml version="1.0" encoding="utf-8"?>
<formControlPr xmlns="http://schemas.microsoft.com/office/spreadsheetml/2009/9/main" objectType="CheckBox" fmlaLink="Программа!$L$46" lockText="1" noThreeD="1"/>
</file>

<file path=xl/ctrlProps/ctrlProp76.xml><?xml version="1.0" encoding="utf-8"?>
<formControlPr xmlns="http://schemas.microsoft.com/office/spreadsheetml/2009/9/main" objectType="CheckBox" fmlaLink="Программа!$L$47" lockText="1" noThreeD="1"/>
</file>

<file path=xl/ctrlProps/ctrlProp77.xml><?xml version="1.0" encoding="utf-8"?>
<formControlPr xmlns="http://schemas.microsoft.com/office/spreadsheetml/2009/9/main" objectType="CheckBox" fmlaLink="Программа!$L$48" lockText="1" noThreeD="1"/>
</file>

<file path=xl/ctrlProps/ctrlProp78.xml><?xml version="1.0" encoding="utf-8"?>
<formControlPr xmlns="http://schemas.microsoft.com/office/spreadsheetml/2009/9/main" objectType="CheckBox" fmlaLink="Программа!$L$49" lockText="1" noThreeD="1"/>
</file>

<file path=xl/ctrlProps/ctrlProp79.xml><?xml version="1.0" encoding="utf-8"?>
<formControlPr xmlns="http://schemas.microsoft.com/office/spreadsheetml/2009/9/main" objectType="CheckBox" checked="Checked" fmlaLink="Программа!$L$50" lockText="1" noThreeD="1"/>
</file>

<file path=xl/ctrlProps/ctrlProp80.xml><?xml version="1.0" encoding="utf-8"?>
<formControlPr xmlns="http://schemas.microsoft.com/office/spreadsheetml/2009/9/main" objectType="CheckBox" fmlaLink="Программа!$L$51" lockText="1" noThreeD="1"/>
</file>

<file path=xl/ctrlProps/ctrlProp81.xml><?xml version="1.0" encoding="utf-8"?>
<formControlPr xmlns="http://schemas.microsoft.com/office/spreadsheetml/2009/9/main" objectType="CheckBox" fmlaLink="Программа!$M$19" lockText="1" noThreeD="1"/>
</file>

<file path=xl/ctrlProps/ctrlProp82.xml><?xml version="1.0" encoding="utf-8"?>
<formControlPr xmlns="http://schemas.microsoft.com/office/spreadsheetml/2009/9/main" objectType="CheckBox" fmlaLink="Программа!$M$20" lockText="1" noThreeD="1"/>
</file>

<file path=xl/ctrlProps/ctrlProp83.xml><?xml version="1.0" encoding="utf-8"?>
<formControlPr xmlns="http://schemas.microsoft.com/office/spreadsheetml/2009/9/main" objectType="CheckBox" fmlaLink="Программа!$M$21" lockText="1" noThreeD="1"/>
</file>

<file path=xl/ctrlProps/ctrlProp84.xml><?xml version="1.0" encoding="utf-8"?>
<formControlPr xmlns="http://schemas.microsoft.com/office/spreadsheetml/2009/9/main" objectType="CheckBox" checked="Checked" fmlaLink="Программа!$M$22" lockText="1" noThreeD="1"/>
</file>

<file path=xl/ctrlProps/ctrlProp85.xml><?xml version="1.0" encoding="utf-8"?>
<formControlPr xmlns="http://schemas.microsoft.com/office/spreadsheetml/2009/9/main" objectType="CheckBox" checked="Checked" fmlaLink="Программа!$M$23" lockText="1" noThreeD="1"/>
</file>

<file path=xl/ctrlProps/ctrlProp86.xml><?xml version="1.0" encoding="utf-8"?>
<formControlPr xmlns="http://schemas.microsoft.com/office/spreadsheetml/2009/9/main" objectType="CheckBox" checked="Checked" fmlaLink="Программа!$M$24" lockText="1" noThreeD="1"/>
</file>

<file path=xl/ctrlProps/ctrlProp87.xml><?xml version="1.0" encoding="utf-8"?>
<formControlPr xmlns="http://schemas.microsoft.com/office/spreadsheetml/2009/9/main" objectType="CheckBox" checked="Checked" fmlaLink="Программа!$M$25" lockText="1" noThreeD="1"/>
</file>

<file path=xl/ctrlProps/ctrlProp88.xml><?xml version="1.0" encoding="utf-8"?>
<formControlPr xmlns="http://schemas.microsoft.com/office/spreadsheetml/2009/9/main" objectType="CheckBox" checked="Checked" fmlaLink="Программа!$M$26" lockText="1" noThreeD="1"/>
</file>

<file path=xl/ctrlProps/ctrlProp89.xml><?xml version="1.0" encoding="utf-8"?>
<formControlPr xmlns="http://schemas.microsoft.com/office/spreadsheetml/2009/9/main" objectType="CheckBox" checked="Checked" fmlaLink="Программа!$M$27" lockText="1" noThreeD="1"/>
</file>

<file path=xl/ctrlProps/ctrlProp90.xml><?xml version="1.0" encoding="utf-8"?>
<formControlPr xmlns="http://schemas.microsoft.com/office/spreadsheetml/2009/9/main" objectType="CheckBox" checked="Checked" fmlaLink="Программа!$M$28" lockText="1" noThreeD="1"/>
</file>

<file path=xl/ctrlProps/ctrlProp91.xml><?xml version="1.0" encoding="utf-8"?>
<formControlPr xmlns="http://schemas.microsoft.com/office/spreadsheetml/2009/9/main" objectType="CheckBox" fmlaLink="Программа!$N$19" lockText="1" noThreeD="1"/>
</file>

<file path=xl/ctrlProps/ctrlProp92.xml><?xml version="1.0" encoding="utf-8"?>
<formControlPr xmlns="http://schemas.microsoft.com/office/spreadsheetml/2009/9/main" objectType="CheckBox" fmlaLink="Программа!$N$20" lockText="1" noThreeD="1"/>
</file>

<file path=xl/ctrlProps/ctrlProp93.xml><?xml version="1.0" encoding="utf-8"?>
<formControlPr xmlns="http://schemas.microsoft.com/office/spreadsheetml/2009/9/main" objectType="CheckBox" checked="Checked" fmlaLink="Программа!$N$21" lockText="1" noThreeD="1"/>
</file>

<file path=xl/ctrlProps/ctrlProp94.xml><?xml version="1.0" encoding="utf-8"?>
<formControlPr xmlns="http://schemas.microsoft.com/office/spreadsheetml/2009/9/main" objectType="CheckBox" fmlaLink="Программа!$N$22" lockText="1" noThreeD="1"/>
</file>

<file path=xl/ctrlProps/ctrlProp95.xml><?xml version="1.0" encoding="utf-8"?>
<formControlPr xmlns="http://schemas.microsoft.com/office/spreadsheetml/2009/9/main" objectType="CheckBox" fmlaLink="Программа!$N$23" lockText="1" noThreeD="1"/>
</file>

<file path=xl/ctrlProps/ctrlProp96.xml><?xml version="1.0" encoding="utf-8"?>
<formControlPr xmlns="http://schemas.microsoft.com/office/spreadsheetml/2009/9/main" objectType="CheckBox" fmlaLink="Программа!$N$24" lockText="1" noThreeD="1"/>
</file>

<file path=xl/ctrlProps/ctrlProp97.xml><?xml version="1.0" encoding="utf-8"?>
<formControlPr xmlns="http://schemas.microsoft.com/office/spreadsheetml/2009/9/main" objectType="CheckBox" fmlaLink="Программа!$N$25" lockText="1" noThreeD="1"/>
</file>

<file path=xl/ctrlProps/ctrlProp98.xml><?xml version="1.0" encoding="utf-8"?>
<formControlPr xmlns="http://schemas.microsoft.com/office/spreadsheetml/2009/9/main" objectType="CheckBox" fmlaLink="Программа!$N$26" lockText="1" noThreeD="1"/>
</file>

<file path=xl/ctrlProps/ctrlProp99.xml><?xml version="1.0" encoding="utf-8"?>
<formControlPr xmlns="http://schemas.microsoft.com/office/spreadsheetml/2009/9/main" objectType="CheckBox" fmlaLink="Программа!$N$27" lockText="1" noThreeD="1"/>
</file>

<file path=xl/ctrlProps/ctrlProp100.xml><?xml version="1.0" encoding="utf-8"?>
<formControlPr xmlns="http://schemas.microsoft.com/office/spreadsheetml/2009/9/main" objectType="CheckBox" fmlaLink="Программа!$N$28" lockText="1" noThreeD="1"/>
</file>

<file path=xl/ctrlProps/ctrlProp101.xml><?xml version="1.0" encoding="utf-8"?>
<formControlPr xmlns="http://schemas.microsoft.com/office/spreadsheetml/2009/9/main" objectType="CheckBox" checked="Checked" fmlaLink="Программа!$L$22" lockText="1" noThreeD="1"/>
</file>

<file path=xl/ctrlProps/ctrlProp102.xml><?xml version="1.0" encoding="utf-8"?>
<formControlPr xmlns="http://schemas.microsoft.com/office/spreadsheetml/2009/9/main" objectType="CheckBox" checked="Checked" fmlaLink="Программа!$L$23" lockText="1" noThreeD="1"/>
</file>

<file path=xl/ctrlProps/ctrlProp103.xml><?xml version="1.0" encoding="utf-8"?>
<formControlPr xmlns="http://schemas.microsoft.com/office/spreadsheetml/2009/9/main" objectType="CheckBox" checked="Checked" fmlaLink="Программа!$L$24" lockText="1" noThreeD="1"/>
</file>

<file path=xl/ctrlProps/ctrlProp104.xml><?xml version="1.0" encoding="utf-8"?>
<formControlPr xmlns="http://schemas.microsoft.com/office/spreadsheetml/2009/9/main" objectType="CheckBox" checked="Checked" fmlaLink="Программа!$L$25" lockText="1" noThreeD="1"/>
</file>

<file path=xl/ctrlProps/ctrlProp105.xml><?xml version="1.0" encoding="utf-8"?>
<formControlPr xmlns="http://schemas.microsoft.com/office/spreadsheetml/2009/9/main" objectType="CheckBox" checked="Checked" fmlaLink="Программа!$L$26" lockText="1" noThreeD="1"/>
</file>

<file path=xl/ctrlProps/ctrlProp106.xml><?xml version="1.0" encoding="utf-8"?>
<formControlPr xmlns="http://schemas.microsoft.com/office/spreadsheetml/2009/9/main" objectType="CheckBox" checked="Checked" fmlaLink="Программа!$L$27" lockText="1" noThreeD="1"/>
</file>

<file path=xl/ctrlProps/ctrlProp107.xml><?xml version="1.0" encoding="utf-8"?>
<formControlPr xmlns="http://schemas.microsoft.com/office/spreadsheetml/2009/9/main" objectType="CheckBox" checked="Checked" fmlaLink="Программа!$L$28" lockText="1" noThreeD="1"/>
</file>

<file path=xl/ctrlProps/ctrlProp108.xml><?xml version="1.0" encoding="utf-8"?>
<formControlPr xmlns="http://schemas.microsoft.com/office/spreadsheetml/2009/9/main" objectType="Drop" dropStyle="combo" dx="16" fmlaLink="Программа!$H$33" fmlaRange="Программа!$B$3:$B$15" noThreeD="1" sel="1" val="0"/>
</file>

<file path=xl/ctrlProps/ctrlProp109.xml><?xml version="1.0" encoding="utf-8"?>
<formControlPr xmlns="http://schemas.microsoft.com/office/spreadsheetml/2009/9/main" objectType="Drop" dropStyle="combo" dx="16" fmlaLink="Программа!$H$34" fmlaRange="Программа!$B$3:$B$15" noThreeD="1" sel="1" val="0"/>
</file>

<file path=xl/ctrlProps/ctrlProp110.xml><?xml version="1.0" encoding="utf-8"?>
<formControlPr xmlns="http://schemas.microsoft.com/office/spreadsheetml/2009/9/main" objectType="Drop" dropStyle="combo" dx="16" fmlaLink="Программа!$H$35" fmlaRange="Программа!$B$3:$B$15" noThreeD="1" sel="1" val="0"/>
</file>

<file path=xl/ctrlProps/ctrlProp111.xml><?xml version="1.0" encoding="utf-8"?>
<formControlPr xmlns="http://schemas.microsoft.com/office/spreadsheetml/2009/9/main" objectType="Drop" dropStyle="combo" dx="16" fmlaLink="Программа!$H$36" fmlaRange="Программа!$B$3:$B$15" noThreeD="1" sel="1" val="0"/>
</file>

<file path=xl/ctrlProps/ctrlProp112.xml><?xml version="1.0" encoding="utf-8"?>
<formControlPr xmlns="http://schemas.microsoft.com/office/spreadsheetml/2009/9/main" objectType="Drop" dropStyle="combo" dx="16" fmlaLink="Программа!$H$37" fmlaRange="Программа!$B$3:$B$15" noThreeD="1" sel="1" val="0"/>
</file>

<file path=xl/ctrlProps/ctrlProp113.xml><?xml version="1.0" encoding="utf-8"?>
<formControlPr xmlns="http://schemas.microsoft.com/office/spreadsheetml/2009/9/main" objectType="CheckBox" fmlaLink="Программа!$N$33" lockText="1" noThreeD="1"/>
</file>

<file path=xl/ctrlProps/ctrlProp114.xml><?xml version="1.0" encoding="utf-8"?>
<formControlPr xmlns="http://schemas.microsoft.com/office/spreadsheetml/2009/9/main" objectType="CheckBox" fmlaLink="Программа!$N$34" lockText="1" noThreeD="1"/>
</file>

<file path=xl/ctrlProps/ctrlProp115.xml><?xml version="1.0" encoding="utf-8"?>
<formControlPr xmlns="http://schemas.microsoft.com/office/spreadsheetml/2009/9/main" objectType="CheckBox" fmlaLink="Программа!$N$35" lockText="1" noThreeD="1"/>
</file>

<file path=xl/ctrlProps/ctrlProp116.xml><?xml version="1.0" encoding="utf-8"?>
<formControlPr xmlns="http://schemas.microsoft.com/office/spreadsheetml/2009/9/main" objectType="CheckBox" checked="Checked" fmlaLink="Программа!$N$36" lockText="1" noThreeD="1"/>
</file>

<file path=xl/ctrlProps/ctrlProp117.xml><?xml version="1.0" encoding="utf-8"?>
<formControlPr xmlns="http://schemas.microsoft.com/office/spreadsheetml/2009/9/main" objectType="CheckBox" checked="Checked" fmlaLink="Программа!$N$37" lockText="1" noThreeD="1"/>
</file>

<file path=xl/ctrlProps/ctrlProp118.xml><?xml version="1.0" encoding="utf-8"?>
<formControlPr xmlns="http://schemas.microsoft.com/office/spreadsheetml/2009/9/main" objectType="Drop" dropStyle="combo" dx="16" fmlaLink="Программа!$C$11" fmlaRange="Программа!$C$3:$C$10" noThreeD="1" sel="4" val="0"/>
</file>

<file path=xl/ctrlProps/ctrlProp119.xml><?xml version="1.0" encoding="utf-8"?>
<formControlPr xmlns="http://schemas.microsoft.com/office/spreadsheetml/2009/9/main" objectType="Drop" dropStyle="combo" dx="16" fmlaLink="Программа!$G$7" fmlaRange="Программа!$G$5:$G$6" noThreeD="1" sel="1" val="0"/>
</file>

<file path=xl/ctrlProps/ctrlProp120.xml><?xml version="1.0" encoding="utf-8"?>
<formControlPr xmlns="http://schemas.microsoft.com/office/spreadsheetml/2009/9/main" objectType="CheckBox" fmlaLink="Программа!$N$42" lockText="1" noThreeD="1"/>
</file>

<file path=xl/ctrlProps/ctrlProp121.xml><?xml version="1.0" encoding="utf-8"?>
<formControlPr xmlns="http://schemas.microsoft.com/office/spreadsheetml/2009/9/main" objectType="CheckBox" fmlaLink="Программа!$N$43" lockText="1" noThreeD="1"/>
</file>

<file path=xl/ctrlProps/ctrlProp122.xml><?xml version="1.0" encoding="utf-8"?>
<formControlPr xmlns="http://schemas.microsoft.com/office/spreadsheetml/2009/9/main" objectType="CheckBox" fmlaLink="Программа!$N$44" lockText="1" noThreeD="1"/>
</file>

<file path=xl/ctrlProps/ctrlProp123.xml><?xml version="1.0" encoding="utf-8"?>
<formControlPr xmlns="http://schemas.microsoft.com/office/spreadsheetml/2009/9/main" objectType="CheckBox" fmlaLink="Программа!$N$45" lockText="1" noThreeD="1"/>
</file>

<file path=xl/ctrlProps/ctrlProp124.xml><?xml version="1.0" encoding="utf-8"?>
<formControlPr xmlns="http://schemas.microsoft.com/office/spreadsheetml/2009/9/main" objectType="CheckBox" fmlaLink="Программа!$N$46" lockText="1" noThreeD="1"/>
</file>

<file path=xl/ctrlProps/ctrlProp125.xml><?xml version="1.0" encoding="utf-8"?>
<formControlPr xmlns="http://schemas.microsoft.com/office/spreadsheetml/2009/9/main" objectType="CheckBox" fmlaLink="Программа!$N$47" lockText="1" noThreeD="1"/>
</file>

<file path=xl/ctrlProps/ctrlProp126.xml><?xml version="1.0" encoding="utf-8"?>
<formControlPr xmlns="http://schemas.microsoft.com/office/spreadsheetml/2009/9/main" objectType="CheckBox" fmlaLink="Программа!$N$48" lockText="1" noThreeD="1"/>
</file>

<file path=xl/ctrlProps/ctrlProp127.xml><?xml version="1.0" encoding="utf-8"?>
<formControlPr xmlns="http://schemas.microsoft.com/office/spreadsheetml/2009/9/main" objectType="CheckBox" fmlaLink="Программа!$N$49" lockText="1" noThreeD="1"/>
</file>

<file path=xl/ctrlProps/ctrlProp128.xml><?xml version="1.0" encoding="utf-8"?>
<formControlPr xmlns="http://schemas.microsoft.com/office/spreadsheetml/2009/9/main" objectType="CheckBox" fmlaLink="Программа!$N$50" lockText="1" noThreeD="1"/>
</file>

<file path=xl/ctrlProps/ctrlProp129.xml><?xml version="1.0" encoding="utf-8"?>
<formControlPr xmlns="http://schemas.microsoft.com/office/spreadsheetml/2009/9/main" objectType="CheckBox" fmlaLink="Программа!$N$51" lockText="1" noThreeD="1"/>
</file>

<file path=xl/ctrlProps/ctrlProp130.xml><?xml version="1.0" encoding="utf-8"?>
<formControlPr xmlns="http://schemas.microsoft.com/office/spreadsheetml/2009/9/main" objectType="CheckBox" fmlaLink="Программа!$S$29" lockText="1" noThreeD="1"/>
</file>

<file path=xl/ctrlProps/ctrlProp131.xml><?xml version="1.0" encoding="utf-8"?>
<formControlPr xmlns="http://schemas.microsoft.com/office/spreadsheetml/2009/9/main" objectType="CheckBox" fmlaLink="Программа!$O$51" lockText="1" noThreeD="1"/>
</file>

<file path=xl/ctrlProps/ctrlProp132.xml><?xml version="1.0" encoding="utf-8"?>
<formControlPr xmlns="http://schemas.microsoft.com/office/spreadsheetml/2009/9/main" objectType="CheckBox" fmlaLink="Программа!$S$33" lockText="1" noThreeD="1"/>
</file>

<file path=xl/ctrlProps/ctrlProp133.xml><?xml version="1.0" encoding="utf-8"?>
<formControlPr xmlns="http://schemas.microsoft.com/office/spreadsheetml/2009/9/main" objectType="Drop" dropStyle="combo" dx="16" fmlaLink="Программа!$P$83" fmlaRange="Программа!$B$3:$B$15" noThreeD="1" sel="2" val="0"/>
</file>

<file path=xl/ctrlProps/ctrlProp134.xml><?xml version="1.0" encoding="utf-8"?>
<formControlPr xmlns="http://schemas.microsoft.com/office/spreadsheetml/2009/9/main" objectType="Drop" dropStyle="combo" dx="16" fmlaLink="Программа!$P$84" fmlaRange="Программа!$B$3:$B$15" noThreeD="1" sel="2" val="0"/>
</file>

<file path=xl/ctrlProps/ctrlProp135.xml><?xml version="1.0" encoding="utf-8"?>
<formControlPr xmlns="http://schemas.microsoft.com/office/spreadsheetml/2009/9/main" objectType="Drop" dropStyle="combo" dx="16" fmlaLink="Программа!$P$85" fmlaRange="Программа!$B$3:$B$15" noThreeD="1" sel="1" val="0"/>
</file>

<file path=xl/ctrlProps/ctrlProp136.xml><?xml version="1.0" encoding="utf-8"?>
<formControlPr xmlns="http://schemas.microsoft.com/office/spreadsheetml/2009/9/main" objectType="Drop" dropStyle="combo" dx="16" fmlaLink="Программа!$P$86" fmlaRange="Программа!$B$3:$B$15" noThreeD="1" sel="1" val="0"/>
</file>

<file path=xl/ctrlProps/ctrlProp137.xml><?xml version="1.0" encoding="utf-8"?>
<formControlPr xmlns="http://schemas.microsoft.com/office/spreadsheetml/2009/9/main" objectType="Drop" dropStyle="combo" dx="16" fmlaLink="Программа!$P$87" fmlaRange="Программа!$B$3:$B$15" noThreeD="1" sel="1" val="0"/>
</file>

<file path=xl/ctrlProps/ctrlProp138.xml><?xml version="1.0" encoding="utf-8"?>
<formControlPr xmlns="http://schemas.microsoft.com/office/spreadsheetml/2009/9/main" objectType="CheckBox" fmlaLink="Программа!$O$83" lockText="1" noThreeD="1"/>
</file>

<file path=xl/ctrlProps/ctrlProp139.xml><?xml version="1.0" encoding="utf-8"?>
<formControlPr xmlns="http://schemas.microsoft.com/office/spreadsheetml/2009/9/main" objectType="CheckBox" fmlaLink="Программа!$O$84" lockText="1" noThreeD="1"/>
</file>

<file path=xl/ctrlProps/ctrlProp140.xml><?xml version="1.0" encoding="utf-8"?>
<formControlPr xmlns="http://schemas.microsoft.com/office/spreadsheetml/2009/9/main" objectType="CheckBox" fmlaLink="Программа!$O$85" lockText="1" noThreeD="1"/>
</file>

<file path=xl/ctrlProps/ctrlProp141.xml><?xml version="1.0" encoding="utf-8"?>
<formControlPr xmlns="http://schemas.microsoft.com/office/spreadsheetml/2009/9/main" objectType="CheckBox" fmlaLink="Программа!$O$86" lockText="1" noThreeD="1"/>
</file>

<file path=xl/ctrlProps/ctrlProp142.xml><?xml version="1.0" encoding="utf-8"?>
<formControlPr xmlns="http://schemas.microsoft.com/office/spreadsheetml/2009/9/main" objectType="CheckBox" fmlaLink="Программа!$O$87" lockText="1" noThreeD="1"/>
</file>

<file path=xl/ctrlProps/ctrlProp14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5" Type="http://schemas.openxmlformats.org/officeDocument/2006/relationships/image" Target="../media/image5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571500</xdr:colOff>
      <xdr:row>0</xdr:row>
      <xdr:rowOff>0</xdr:rowOff>
    </xdr:from>
    <xdr:to>
      <xdr:col>3</xdr:col>
      <xdr:colOff>315154</xdr:colOff>
      <xdr:row>2</xdr:row>
      <xdr:rowOff>4141</xdr:rowOff>
    </xdr:to>
    <xdr:pic>
      <xdr:nvPicPr>
        <xdr:cNvPr id="2" name="Рисунок 3" descr="C:\Documents and Settings\morgun\Мои документы\лого мизол.jp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71500" y="0"/>
          <a:ext cx="1334329" cy="48039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10</xdr:col>
      <xdr:colOff>66675</xdr:colOff>
      <xdr:row>0</xdr:row>
      <xdr:rowOff>0</xdr:rowOff>
    </xdr:from>
    <xdr:to>
      <xdr:col>10</xdr:col>
      <xdr:colOff>571500</xdr:colOff>
      <xdr:row>2</xdr:row>
      <xdr:rowOff>53200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8905875" y="0"/>
          <a:ext cx="504825" cy="529450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</xdr:pic>
    <xdr:clientData/>
  </xdr:twoCellAnchor>
  <xdr:twoCellAnchor editAs="oneCell">
    <xdr:from>
      <xdr:col>9</xdr:col>
      <xdr:colOff>476251</xdr:colOff>
      <xdr:row>9</xdr:row>
      <xdr:rowOff>88848</xdr:rowOff>
    </xdr:from>
    <xdr:to>
      <xdr:col>17</xdr:col>
      <xdr:colOff>493060</xdr:colOff>
      <xdr:row>18</xdr:row>
      <xdr:rowOff>29008</xdr:rowOff>
    </xdr:to>
    <xdr:pic>
      <xdr:nvPicPr>
        <xdr:cNvPr id="4" name="Рисунок 3" descr="Сайдинг 1.jpg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rcRect l="9502" t="22001" r="14735" b="32060"/>
        <a:stretch>
          <a:fillRect/>
        </a:stretch>
      </xdr:blipFill>
      <xdr:spPr>
        <a:xfrm>
          <a:off x="7995398" y="2206760"/>
          <a:ext cx="4857750" cy="2058072"/>
        </a:xfrm>
        <a:prstGeom prst="rect">
          <a:avLst/>
        </a:prstGeom>
      </xdr:spPr>
    </xdr:pic>
    <xdr:clientData/>
  </xdr:twoCellAnchor>
  <xdr:twoCellAnchor editAs="oneCell">
    <xdr:from>
      <xdr:col>10</xdr:col>
      <xdr:colOff>31848</xdr:colOff>
      <xdr:row>24</xdr:row>
      <xdr:rowOff>232978</xdr:rowOff>
    </xdr:from>
    <xdr:to>
      <xdr:col>14</xdr:col>
      <xdr:colOff>538370</xdr:colOff>
      <xdr:row>32</xdr:row>
      <xdr:rowOff>368211</xdr:rowOff>
    </xdr:to>
    <xdr:pic>
      <xdr:nvPicPr>
        <xdr:cNvPr id="5" name="Рисунок 4" descr="Сайдинг 2.jpg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rcRect l="29149" t="18460" r="29815" b="36066"/>
        <a:stretch>
          <a:fillRect/>
        </a:stretch>
      </xdr:blipFill>
      <xdr:spPr>
        <a:xfrm>
          <a:off x="8173652" y="6221304"/>
          <a:ext cx="2958175" cy="2330124"/>
        </a:xfrm>
        <a:prstGeom prst="rect">
          <a:avLst/>
        </a:prstGeom>
      </xdr:spPr>
    </xdr:pic>
    <xdr:clientData/>
  </xdr:twoCellAnchor>
  <xdr:twoCellAnchor editAs="oneCell">
    <xdr:from>
      <xdr:col>7</xdr:col>
      <xdr:colOff>152400</xdr:colOff>
      <xdr:row>77</xdr:row>
      <xdr:rowOff>400049</xdr:rowOff>
    </xdr:from>
    <xdr:to>
      <xdr:col>11</xdr:col>
      <xdr:colOff>350351</xdr:colOff>
      <xdr:row>84</xdr:row>
      <xdr:rowOff>190499</xdr:rowOff>
    </xdr:to>
    <xdr:pic>
      <xdr:nvPicPr>
        <xdr:cNvPr id="1183" name="Picture 159">
          <a:extLst>
            <a:ext uri="{FF2B5EF4-FFF2-40B4-BE49-F238E27FC236}">
              <a16:creationId xmlns:a16="http://schemas.microsoft.com/office/drawing/2014/main" id="{00000000-0008-0000-0000-00009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 l="23274" t="32762" r="40774" b="34000"/>
        <a:stretch>
          <a:fillRect/>
        </a:stretch>
      </xdr:blipFill>
      <xdr:spPr bwMode="auto">
        <a:xfrm>
          <a:off x="5991225" y="19478624"/>
          <a:ext cx="3807926" cy="22002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9</xdr:row>
          <xdr:rowOff>22860</xdr:rowOff>
        </xdr:from>
        <xdr:to>
          <xdr:col>5</xdr:col>
          <xdr:colOff>982980</xdr:colOff>
          <xdr:row>9</xdr:row>
          <xdr:rowOff>220980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10</xdr:row>
          <xdr:rowOff>22860</xdr:rowOff>
        </xdr:from>
        <xdr:to>
          <xdr:col>5</xdr:col>
          <xdr:colOff>982980</xdr:colOff>
          <xdr:row>10</xdr:row>
          <xdr:rowOff>220980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11</xdr:row>
          <xdr:rowOff>22860</xdr:rowOff>
        </xdr:from>
        <xdr:to>
          <xdr:col>5</xdr:col>
          <xdr:colOff>982980</xdr:colOff>
          <xdr:row>11</xdr:row>
          <xdr:rowOff>220980</xdr:rowOff>
        </xdr:to>
        <xdr:sp macro="" textlink="">
          <xdr:nvSpPr>
            <xdr:cNvPr id="1027" name="Drop Dow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12</xdr:row>
          <xdr:rowOff>22860</xdr:rowOff>
        </xdr:from>
        <xdr:to>
          <xdr:col>5</xdr:col>
          <xdr:colOff>982980</xdr:colOff>
          <xdr:row>12</xdr:row>
          <xdr:rowOff>220980</xdr:rowOff>
        </xdr:to>
        <xdr:sp macro="" textlink="">
          <xdr:nvSpPr>
            <xdr:cNvPr id="1028" name="Drop Dow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13</xdr:row>
          <xdr:rowOff>22860</xdr:rowOff>
        </xdr:from>
        <xdr:to>
          <xdr:col>5</xdr:col>
          <xdr:colOff>982980</xdr:colOff>
          <xdr:row>13</xdr:row>
          <xdr:rowOff>220980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14</xdr:row>
          <xdr:rowOff>22860</xdr:rowOff>
        </xdr:from>
        <xdr:to>
          <xdr:col>5</xdr:col>
          <xdr:colOff>982980</xdr:colOff>
          <xdr:row>14</xdr:row>
          <xdr:rowOff>220980</xdr:rowOff>
        </xdr:to>
        <xdr:sp macro="" textlink="">
          <xdr:nvSpPr>
            <xdr:cNvPr id="1030" name="Drop Dow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15</xdr:row>
          <xdr:rowOff>22860</xdr:rowOff>
        </xdr:from>
        <xdr:to>
          <xdr:col>5</xdr:col>
          <xdr:colOff>982980</xdr:colOff>
          <xdr:row>15</xdr:row>
          <xdr:rowOff>220980</xdr:rowOff>
        </xdr:to>
        <xdr:sp macro="" textlink="">
          <xdr:nvSpPr>
            <xdr:cNvPr id="1031" name="Drop Dow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16</xdr:row>
          <xdr:rowOff>22860</xdr:rowOff>
        </xdr:from>
        <xdr:to>
          <xdr:col>5</xdr:col>
          <xdr:colOff>982980</xdr:colOff>
          <xdr:row>16</xdr:row>
          <xdr:rowOff>220980</xdr:rowOff>
        </xdr:to>
        <xdr:sp macro="" textlink="">
          <xdr:nvSpPr>
            <xdr:cNvPr id="1032" name="Drop Dow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17</xdr:row>
          <xdr:rowOff>22860</xdr:rowOff>
        </xdr:from>
        <xdr:to>
          <xdr:col>5</xdr:col>
          <xdr:colOff>982980</xdr:colOff>
          <xdr:row>17</xdr:row>
          <xdr:rowOff>220980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18</xdr:row>
          <xdr:rowOff>22860</xdr:rowOff>
        </xdr:from>
        <xdr:to>
          <xdr:col>5</xdr:col>
          <xdr:colOff>982980</xdr:colOff>
          <xdr:row>18</xdr:row>
          <xdr:rowOff>220980</xdr:rowOff>
        </xdr:to>
        <xdr:sp macro="" textlink="">
          <xdr:nvSpPr>
            <xdr:cNvPr id="1034" name="Drop Dow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33</xdr:row>
          <xdr:rowOff>22860</xdr:rowOff>
        </xdr:from>
        <xdr:to>
          <xdr:col>5</xdr:col>
          <xdr:colOff>982980</xdr:colOff>
          <xdr:row>33</xdr:row>
          <xdr:rowOff>220980</xdr:rowOff>
        </xdr:to>
        <xdr:sp macro="" textlink="">
          <xdr:nvSpPr>
            <xdr:cNvPr id="1035" name="Drop Dow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34</xdr:row>
          <xdr:rowOff>22860</xdr:rowOff>
        </xdr:from>
        <xdr:to>
          <xdr:col>5</xdr:col>
          <xdr:colOff>982980</xdr:colOff>
          <xdr:row>34</xdr:row>
          <xdr:rowOff>220980</xdr:rowOff>
        </xdr:to>
        <xdr:sp macro="" textlink="">
          <xdr:nvSpPr>
            <xdr:cNvPr id="1036" name="Drop Dow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35</xdr:row>
          <xdr:rowOff>22860</xdr:rowOff>
        </xdr:from>
        <xdr:to>
          <xdr:col>5</xdr:col>
          <xdr:colOff>982980</xdr:colOff>
          <xdr:row>35</xdr:row>
          <xdr:rowOff>220980</xdr:rowOff>
        </xdr:to>
        <xdr:sp macro="" textlink="">
          <xdr:nvSpPr>
            <xdr:cNvPr id="1037" name="Drop Dow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36</xdr:row>
          <xdr:rowOff>22860</xdr:rowOff>
        </xdr:from>
        <xdr:to>
          <xdr:col>5</xdr:col>
          <xdr:colOff>982980</xdr:colOff>
          <xdr:row>36</xdr:row>
          <xdr:rowOff>220980</xdr:rowOff>
        </xdr:to>
        <xdr:sp macro="" textlink="">
          <xdr:nvSpPr>
            <xdr:cNvPr id="1038" name="Drop Dow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37</xdr:row>
          <xdr:rowOff>22860</xdr:rowOff>
        </xdr:from>
        <xdr:to>
          <xdr:col>5</xdr:col>
          <xdr:colOff>982980</xdr:colOff>
          <xdr:row>37</xdr:row>
          <xdr:rowOff>220980</xdr:rowOff>
        </xdr:to>
        <xdr:sp macro="" textlink="">
          <xdr:nvSpPr>
            <xdr:cNvPr id="1039" name="Drop Dow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38</xdr:row>
          <xdr:rowOff>22860</xdr:rowOff>
        </xdr:from>
        <xdr:to>
          <xdr:col>5</xdr:col>
          <xdr:colOff>982980</xdr:colOff>
          <xdr:row>38</xdr:row>
          <xdr:rowOff>220980</xdr:rowOff>
        </xdr:to>
        <xdr:sp macro="" textlink="">
          <xdr:nvSpPr>
            <xdr:cNvPr id="1040" name="Drop Dow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39</xdr:row>
          <xdr:rowOff>22860</xdr:rowOff>
        </xdr:from>
        <xdr:to>
          <xdr:col>5</xdr:col>
          <xdr:colOff>982980</xdr:colOff>
          <xdr:row>39</xdr:row>
          <xdr:rowOff>220980</xdr:rowOff>
        </xdr:to>
        <xdr:sp macro="" textlink="">
          <xdr:nvSpPr>
            <xdr:cNvPr id="1041" name="Drop Dow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40</xdr:row>
          <xdr:rowOff>22860</xdr:rowOff>
        </xdr:from>
        <xdr:to>
          <xdr:col>5</xdr:col>
          <xdr:colOff>982980</xdr:colOff>
          <xdr:row>40</xdr:row>
          <xdr:rowOff>220980</xdr:rowOff>
        </xdr:to>
        <xdr:sp macro="" textlink="">
          <xdr:nvSpPr>
            <xdr:cNvPr id="1042" name="Drop Dow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41</xdr:row>
          <xdr:rowOff>22860</xdr:rowOff>
        </xdr:from>
        <xdr:to>
          <xdr:col>5</xdr:col>
          <xdr:colOff>982980</xdr:colOff>
          <xdr:row>41</xdr:row>
          <xdr:rowOff>220980</xdr:rowOff>
        </xdr:to>
        <xdr:sp macro="" textlink="">
          <xdr:nvSpPr>
            <xdr:cNvPr id="1043" name="Drop Dow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42</xdr:row>
          <xdr:rowOff>22860</xdr:rowOff>
        </xdr:from>
        <xdr:to>
          <xdr:col>5</xdr:col>
          <xdr:colOff>982980</xdr:colOff>
          <xdr:row>42</xdr:row>
          <xdr:rowOff>220980</xdr:rowOff>
        </xdr:to>
        <xdr:sp macro="" textlink="">
          <xdr:nvSpPr>
            <xdr:cNvPr id="1044" name="Drop Dow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47</xdr:row>
          <xdr:rowOff>22860</xdr:rowOff>
        </xdr:from>
        <xdr:to>
          <xdr:col>5</xdr:col>
          <xdr:colOff>982980</xdr:colOff>
          <xdr:row>47</xdr:row>
          <xdr:rowOff>220980</xdr:rowOff>
        </xdr:to>
        <xdr:sp macro="" textlink="">
          <xdr:nvSpPr>
            <xdr:cNvPr id="1045" name="Drop Dow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48</xdr:row>
          <xdr:rowOff>22860</xdr:rowOff>
        </xdr:from>
        <xdr:to>
          <xdr:col>5</xdr:col>
          <xdr:colOff>982980</xdr:colOff>
          <xdr:row>48</xdr:row>
          <xdr:rowOff>220980</xdr:rowOff>
        </xdr:to>
        <xdr:sp macro="" textlink="">
          <xdr:nvSpPr>
            <xdr:cNvPr id="1046" name="Drop Dow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49</xdr:row>
          <xdr:rowOff>22860</xdr:rowOff>
        </xdr:from>
        <xdr:to>
          <xdr:col>5</xdr:col>
          <xdr:colOff>982980</xdr:colOff>
          <xdr:row>49</xdr:row>
          <xdr:rowOff>220980</xdr:rowOff>
        </xdr:to>
        <xdr:sp macro="" textlink="">
          <xdr:nvSpPr>
            <xdr:cNvPr id="1047" name="Drop Dow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50</xdr:row>
          <xdr:rowOff>22860</xdr:rowOff>
        </xdr:from>
        <xdr:to>
          <xdr:col>5</xdr:col>
          <xdr:colOff>982980</xdr:colOff>
          <xdr:row>50</xdr:row>
          <xdr:rowOff>220980</xdr:rowOff>
        </xdr:to>
        <xdr:sp macro="" textlink="">
          <xdr:nvSpPr>
            <xdr:cNvPr id="1048" name="Drop Dow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51</xdr:row>
          <xdr:rowOff>22860</xdr:rowOff>
        </xdr:from>
        <xdr:to>
          <xdr:col>5</xdr:col>
          <xdr:colOff>982980</xdr:colOff>
          <xdr:row>51</xdr:row>
          <xdr:rowOff>220980</xdr:rowOff>
        </xdr:to>
        <xdr:sp macro="" textlink="">
          <xdr:nvSpPr>
            <xdr:cNvPr id="1049" name="Drop Dow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55</xdr:row>
          <xdr:rowOff>22860</xdr:rowOff>
        </xdr:from>
        <xdr:to>
          <xdr:col>5</xdr:col>
          <xdr:colOff>982980</xdr:colOff>
          <xdr:row>55</xdr:row>
          <xdr:rowOff>220980</xdr:rowOff>
        </xdr:to>
        <xdr:sp macro="" textlink="">
          <xdr:nvSpPr>
            <xdr:cNvPr id="1050" name="Drop Dow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56</xdr:row>
          <xdr:rowOff>22860</xdr:rowOff>
        </xdr:from>
        <xdr:to>
          <xdr:col>5</xdr:col>
          <xdr:colOff>982980</xdr:colOff>
          <xdr:row>56</xdr:row>
          <xdr:rowOff>220980</xdr:rowOff>
        </xdr:to>
        <xdr:sp macro="" textlink="">
          <xdr:nvSpPr>
            <xdr:cNvPr id="1051" name="Drop Dow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57</xdr:row>
          <xdr:rowOff>22860</xdr:rowOff>
        </xdr:from>
        <xdr:to>
          <xdr:col>5</xdr:col>
          <xdr:colOff>982980</xdr:colOff>
          <xdr:row>57</xdr:row>
          <xdr:rowOff>220980</xdr:rowOff>
        </xdr:to>
        <xdr:sp macro="" textlink="">
          <xdr:nvSpPr>
            <xdr:cNvPr id="1052" name="Drop Dow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58</xdr:row>
          <xdr:rowOff>22860</xdr:rowOff>
        </xdr:from>
        <xdr:to>
          <xdr:col>5</xdr:col>
          <xdr:colOff>982980</xdr:colOff>
          <xdr:row>58</xdr:row>
          <xdr:rowOff>220980</xdr:rowOff>
        </xdr:to>
        <xdr:sp macro="" textlink="">
          <xdr:nvSpPr>
            <xdr:cNvPr id="1053" name="Drop Dow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59</xdr:row>
          <xdr:rowOff>22860</xdr:rowOff>
        </xdr:from>
        <xdr:to>
          <xdr:col>5</xdr:col>
          <xdr:colOff>982980</xdr:colOff>
          <xdr:row>59</xdr:row>
          <xdr:rowOff>220980</xdr:rowOff>
        </xdr:to>
        <xdr:sp macro="" textlink="">
          <xdr:nvSpPr>
            <xdr:cNvPr id="1054" name="Drop Dow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63</xdr:row>
          <xdr:rowOff>22860</xdr:rowOff>
        </xdr:from>
        <xdr:to>
          <xdr:col>4</xdr:col>
          <xdr:colOff>982980</xdr:colOff>
          <xdr:row>63</xdr:row>
          <xdr:rowOff>220980</xdr:rowOff>
        </xdr:to>
        <xdr:sp macro="" textlink="">
          <xdr:nvSpPr>
            <xdr:cNvPr id="1055" name="Drop Dow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64</xdr:row>
          <xdr:rowOff>22860</xdr:rowOff>
        </xdr:from>
        <xdr:to>
          <xdr:col>4</xdr:col>
          <xdr:colOff>982980</xdr:colOff>
          <xdr:row>64</xdr:row>
          <xdr:rowOff>220980</xdr:rowOff>
        </xdr:to>
        <xdr:sp macro="" textlink="">
          <xdr:nvSpPr>
            <xdr:cNvPr id="1056" name="Drop Dow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65</xdr:row>
          <xdr:rowOff>22860</xdr:rowOff>
        </xdr:from>
        <xdr:to>
          <xdr:col>4</xdr:col>
          <xdr:colOff>982980</xdr:colOff>
          <xdr:row>65</xdr:row>
          <xdr:rowOff>220980</xdr:rowOff>
        </xdr:to>
        <xdr:sp macro="" textlink="">
          <xdr:nvSpPr>
            <xdr:cNvPr id="1057" name="Drop Dow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66</xdr:row>
          <xdr:rowOff>22860</xdr:rowOff>
        </xdr:from>
        <xdr:to>
          <xdr:col>4</xdr:col>
          <xdr:colOff>982980</xdr:colOff>
          <xdr:row>66</xdr:row>
          <xdr:rowOff>220980</xdr:rowOff>
        </xdr:to>
        <xdr:sp macro="" textlink="">
          <xdr:nvSpPr>
            <xdr:cNvPr id="1058" name="Drop Dow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67</xdr:row>
          <xdr:rowOff>22860</xdr:rowOff>
        </xdr:from>
        <xdr:to>
          <xdr:col>4</xdr:col>
          <xdr:colOff>982980</xdr:colOff>
          <xdr:row>67</xdr:row>
          <xdr:rowOff>220980</xdr:rowOff>
        </xdr:to>
        <xdr:sp macro="" textlink="">
          <xdr:nvSpPr>
            <xdr:cNvPr id="1059" name="Drop Dow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71</xdr:row>
          <xdr:rowOff>22860</xdr:rowOff>
        </xdr:from>
        <xdr:to>
          <xdr:col>4</xdr:col>
          <xdr:colOff>982980</xdr:colOff>
          <xdr:row>71</xdr:row>
          <xdr:rowOff>220980</xdr:rowOff>
        </xdr:to>
        <xdr:sp macro="" textlink="">
          <xdr:nvSpPr>
            <xdr:cNvPr id="1060" name="Drop Dow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72</xdr:row>
          <xdr:rowOff>22860</xdr:rowOff>
        </xdr:from>
        <xdr:to>
          <xdr:col>4</xdr:col>
          <xdr:colOff>982980</xdr:colOff>
          <xdr:row>72</xdr:row>
          <xdr:rowOff>220980</xdr:rowOff>
        </xdr:to>
        <xdr:sp macro="" textlink="">
          <xdr:nvSpPr>
            <xdr:cNvPr id="1061" name="Drop Dow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73</xdr:row>
          <xdr:rowOff>22860</xdr:rowOff>
        </xdr:from>
        <xdr:to>
          <xdr:col>4</xdr:col>
          <xdr:colOff>982980</xdr:colOff>
          <xdr:row>73</xdr:row>
          <xdr:rowOff>220980</xdr:rowOff>
        </xdr:to>
        <xdr:sp macro="" textlink="">
          <xdr:nvSpPr>
            <xdr:cNvPr id="1062" name="Drop Dow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74</xdr:row>
          <xdr:rowOff>22860</xdr:rowOff>
        </xdr:from>
        <xdr:to>
          <xdr:col>4</xdr:col>
          <xdr:colOff>982980</xdr:colOff>
          <xdr:row>74</xdr:row>
          <xdr:rowOff>220980</xdr:rowOff>
        </xdr:to>
        <xdr:sp macro="" textlink="">
          <xdr:nvSpPr>
            <xdr:cNvPr id="1063" name="Drop Dow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75</xdr:row>
          <xdr:rowOff>22860</xdr:rowOff>
        </xdr:from>
        <xdr:to>
          <xdr:col>4</xdr:col>
          <xdr:colOff>982980</xdr:colOff>
          <xdr:row>75</xdr:row>
          <xdr:rowOff>220980</xdr:rowOff>
        </xdr:to>
        <xdr:sp macro="" textlink="">
          <xdr:nvSpPr>
            <xdr:cNvPr id="1064" name="Drop Dow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33</xdr:row>
          <xdr:rowOff>7620</xdr:rowOff>
        </xdr:from>
        <xdr:to>
          <xdr:col>6</xdr:col>
          <xdr:colOff>601980</xdr:colOff>
          <xdr:row>34</xdr:row>
          <xdr:rowOff>0</xdr:rowOff>
        </xdr:to>
        <xdr:sp macro="" textlink="">
          <xdr:nvSpPr>
            <xdr:cNvPr id="1065" name="Check Box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34</xdr:row>
          <xdr:rowOff>7620</xdr:rowOff>
        </xdr:from>
        <xdr:to>
          <xdr:col>6</xdr:col>
          <xdr:colOff>601980</xdr:colOff>
          <xdr:row>35</xdr:row>
          <xdr:rowOff>0</xdr:rowOff>
        </xdr:to>
        <xdr:sp macro="" textlink="">
          <xdr:nvSpPr>
            <xdr:cNvPr id="1066" name="Check Box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35</xdr:row>
          <xdr:rowOff>7620</xdr:rowOff>
        </xdr:from>
        <xdr:to>
          <xdr:col>6</xdr:col>
          <xdr:colOff>601980</xdr:colOff>
          <xdr:row>36</xdr:row>
          <xdr:rowOff>0</xdr:rowOff>
        </xdr:to>
        <xdr:sp macro="" textlink="">
          <xdr:nvSpPr>
            <xdr:cNvPr id="1067" name="Check Box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36</xdr:row>
          <xdr:rowOff>7620</xdr:rowOff>
        </xdr:from>
        <xdr:to>
          <xdr:col>6</xdr:col>
          <xdr:colOff>601980</xdr:colOff>
          <xdr:row>37</xdr:row>
          <xdr:rowOff>0</xdr:rowOff>
        </xdr:to>
        <xdr:sp macro="" textlink="">
          <xdr:nvSpPr>
            <xdr:cNvPr id="1068" name="Check Box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37</xdr:row>
          <xdr:rowOff>7620</xdr:rowOff>
        </xdr:from>
        <xdr:to>
          <xdr:col>6</xdr:col>
          <xdr:colOff>601980</xdr:colOff>
          <xdr:row>38</xdr:row>
          <xdr:rowOff>0</xdr:rowOff>
        </xdr:to>
        <xdr:sp macro="" textlink="">
          <xdr:nvSpPr>
            <xdr:cNvPr id="1069" name="Check Box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38</xdr:row>
          <xdr:rowOff>7620</xdr:rowOff>
        </xdr:from>
        <xdr:to>
          <xdr:col>6</xdr:col>
          <xdr:colOff>601980</xdr:colOff>
          <xdr:row>39</xdr:row>
          <xdr:rowOff>0</xdr:rowOff>
        </xdr:to>
        <xdr:sp macro="" textlink="">
          <xdr:nvSpPr>
            <xdr:cNvPr id="1070" name="Check Box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39</xdr:row>
          <xdr:rowOff>7620</xdr:rowOff>
        </xdr:from>
        <xdr:to>
          <xdr:col>6</xdr:col>
          <xdr:colOff>601980</xdr:colOff>
          <xdr:row>40</xdr:row>
          <xdr:rowOff>0</xdr:rowOff>
        </xdr:to>
        <xdr:sp macro="" textlink="">
          <xdr:nvSpPr>
            <xdr:cNvPr id="1071" name="Check Box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40</xdr:row>
          <xdr:rowOff>7620</xdr:rowOff>
        </xdr:from>
        <xdr:to>
          <xdr:col>6</xdr:col>
          <xdr:colOff>601980</xdr:colOff>
          <xdr:row>41</xdr:row>
          <xdr:rowOff>0</xdr:rowOff>
        </xdr:to>
        <xdr:sp macro="" textlink="">
          <xdr:nvSpPr>
            <xdr:cNvPr id="1072" name="Check Box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41</xdr:row>
          <xdr:rowOff>7620</xdr:rowOff>
        </xdr:from>
        <xdr:to>
          <xdr:col>6</xdr:col>
          <xdr:colOff>601980</xdr:colOff>
          <xdr:row>42</xdr:row>
          <xdr:rowOff>0</xdr:rowOff>
        </xdr:to>
        <xdr:sp macro="" textlink="">
          <xdr:nvSpPr>
            <xdr:cNvPr id="1073" name="Check Box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42</xdr:row>
          <xdr:rowOff>7620</xdr:rowOff>
        </xdr:from>
        <xdr:to>
          <xdr:col>6</xdr:col>
          <xdr:colOff>601980</xdr:colOff>
          <xdr:row>43</xdr:row>
          <xdr:rowOff>0</xdr:rowOff>
        </xdr:to>
        <xdr:sp macro="" textlink="">
          <xdr:nvSpPr>
            <xdr:cNvPr id="1074" name="Check Box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47</xdr:row>
          <xdr:rowOff>7620</xdr:rowOff>
        </xdr:from>
        <xdr:to>
          <xdr:col>6</xdr:col>
          <xdr:colOff>601980</xdr:colOff>
          <xdr:row>48</xdr:row>
          <xdr:rowOff>0</xdr:rowOff>
        </xdr:to>
        <xdr:sp macro="" textlink="">
          <xdr:nvSpPr>
            <xdr:cNvPr id="1075" name="Check Box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48</xdr:row>
          <xdr:rowOff>7620</xdr:rowOff>
        </xdr:from>
        <xdr:to>
          <xdr:col>6</xdr:col>
          <xdr:colOff>601980</xdr:colOff>
          <xdr:row>49</xdr:row>
          <xdr:rowOff>0</xdr:rowOff>
        </xdr:to>
        <xdr:sp macro="" textlink="">
          <xdr:nvSpPr>
            <xdr:cNvPr id="1076" name="Check Box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49</xdr:row>
          <xdr:rowOff>7620</xdr:rowOff>
        </xdr:from>
        <xdr:to>
          <xdr:col>6</xdr:col>
          <xdr:colOff>601980</xdr:colOff>
          <xdr:row>50</xdr:row>
          <xdr:rowOff>0</xdr:rowOff>
        </xdr:to>
        <xdr:sp macro="" textlink="">
          <xdr:nvSpPr>
            <xdr:cNvPr id="1077" name="Check Box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50</xdr:row>
          <xdr:rowOff>7620</xdr:rowOff>
        </xdr:from>
        <xdr:to>
          <xdr:col>6</xdr:col>
          <xdr:colOff>601980</xdr:colOff>
          <xdr:row>51</xdr:row>
          <xdr:rowOff>0</xdr:rowOff>
        </xdr:to>
        <xdr:sp macro="" textlink="">
          <xdr:nvSpPr>
            <xdr:cNvPr id="1078" name="Check Box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51</xdr:row>
          <xdr:rowOff>7620</xdr:rowOff>
        </xdr:from>
        <xdr:to>
          <xdr:col>6</xdr:col>
          <xdr:colOff>601980</xdr:colOff>
          <xdr:row>52</xdr:row>
          <xdr:rowOff>0</xdr:rowOff>
        </xdr:to>
        <xdr:sp macro="" textlink="">
          <xdr:nvSpPr>
            <xdr:cNvPr id="1079" name="Check Box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55</xdr:row>
          <xdr:rowOff>7620</xdr:rowOff>
        </xdr:from>
        <xdr:to>
          <xdr:col>6</xdr:col>
          <xdr:colOff>601980</xdr:colOff>
          <xdr:row>56</xdr:row>
          <xdr:rowOff>0</xdr:rowOff>
        </xdr:to>
        <xdr:sp macro="" textlink="">
          <xdr:nvSpPr>
            <xdr:cNvPr id="1080" name="Check Box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56</xdr:row>
          <xdr:rowOff>7620</xdr:rowOff>
        </xdr:from>
        <xdr:to>
          <xdr:col>6</xdr:col>
          <xdr:colOff>601980</xdr:colOff>
          <xdr:row>57</xdr:row>
          <xdr:rowOff>0</xdr:rowOff>
        </xdr:to>
        <xdr:sp macro="" textlink="">
          <xdr:nvSpPr>
            <xdr:cNvPr id="1081" name="Check Box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57</xdr:row>
          <xdr:rowOff>7620</xdr:rowOff>
        </xdr:from>
        <xdr:to>
          <xdr:col>6</xdr:col>
          <xdr:colOff>601980</xdr:colOff>
          <xdr:row>58</xdr:row>
          <xdr:rowOff>0</xdr:rowOff>
        </xdr:to>
        <xdr:sp macro="" textlink="">
          <xdr:nvSpPr>
            <xdr:cNvPr id="1082" name="Check Box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58</xdr:row>
          <xdr:rowOff>7620</xdr:rowOff>
        </xdr:from>
        <xdr:to>
          <xdr:col>6</xdr:col>
          <xdr:colOff>601980</xdr:colOff>
          <xdr:row>59</xdr:row>
          <xdr:rowOff>0</xdr:rowOff>
        </xdr:to>
        <xdr:sp macro="" textlink="">
          <xdr:nvSpPr>
            <xdr:cNvPr id="1083" name="Check Box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59</xdr:row>
          <xdr:rowOff>7620</xdr:rowOff>
        </xdr:from>
        <xdr:to>
          <xdr:col>6</xdr:col>
          <xdr:colOff>601980</xdr:colOff>
          <xdr:row>60</xdr:row>
          <xdr:rowOff>0</xdr:rowOff>
        </xdr:to>
        <xdr:sp macro="" textlink="">
          <xdr:nvSpPr>
            <xdr:cNvPr id="1084" name="Check Box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63</xdr:row>
          <xdr:rowOff>7620</xdr:rowOff>
        </xdr:from>
        <xdr:to>
          <xdr:col>5</xdr:col>
          <xdr:colOff>601980</xdr:colOff>
          <xdr:row>64</xdr:row>
          <xdr:rowOff>0</xdr:rowOff>
        </xdr:to>
        <xdr:sp macro="" textlink="">
          <xdr:nvSpPr>
            <xdr:cNvPr id="1085" name="Check Box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64</xdr:row>
          <xdr:rowOff>7620</xdr:rowOff>
        </xdr:from>
        <xdr:to>
          <xdr:col>5</xdr:col>
          <xdr:colOff>601980</xdr:colOff>
          <xdr:row>65</xdr:row>
          <xdr:rowOff>0</xdr:rowOff>
        </xdr:to>
        <xdr:sp macro="" textlink="">
          <xdr:nvSpPr>
            <xdr:cNvPr id="1086" name="Check Box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65</xdr:row>
          <xdr:rowOff>7620</xdr:rowOff>
        </xdr:from>
        <xdr:to>
          <xdr:col>5</xdr:col>
          <xdr:colOff>601980</xdr:colOff>
          <xdr:row>66</xdr:row>
          <xdr:rowOff>0</xdr:rowOff>
        </xdr:to>
        <xdr:sp macro="" textlink="">
          <xdr:nvSpPr>
            <xdr:cNvPr id="1087" name="Check Box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66</xdr:row>
          <xdr:rowOff>7620</xdr:rowOff>
        </xdr:from>
        <xdr:to>
          <xdr:col>5</xdr:col>
          <xdr:colOff>601980</xdr:colOff>
          <xdr:row>67</xdr:row>
          <xdr:rowOff>0</xdr:rowOff>
        </xdr:to>
        <xdr:sp macro="" textlink="">
          <xdr:nvSpPr>
            <xdr:cNvPr id="1088" name="Check Box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67</xdr:row>
          <xdr:rowOff>7620</xdr:rowOff>
        </xdr:from>
        <xdr:to>
          <xdr:col>5</xdr:col>
          <xdr:colOff>601980</xdr:colOff>
          <xdr:row>68</xdr:row>
          <xdr:rowOff>0</xdr:rowOff>
        </xdr:to>
        <xdr:sp macro="" textlink="">
          <xdr:nvSpPr>
            <xdr:cNvPr id="1089" name="Check Box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71</xdr:row>
          <xdr:rowOff>7620</xdr:rowOff>
        </xdr:from>
        <xdr:to>
          <xdr:col>5</xdr:col>
          <xdr:colOff>601980</xdr:colOff>
          <xdr:row>72</xdr:row>
          <xdr:rowOff>0</xdr:rowOff>
        </xdr:to>
        <xdr:sp macro="" textlink="">
          <xdr:nvSpPr>
            <xdr:cNvPr id="1090" name="Check Box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0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72</xdr:row>
          <xdr:rowOff>7620</xdr:rowOff>
        </xdr:from>
        <xdr:to>
          <xdr:col>5</xdr:col>
          <xdr:colOff>601980</xdr:colOff>
          <xdr:row>73</xdr:row>
          <xdr:rowOff>0</xdr:rowOff>
        </xdr:to>
        <xdr:sp macro="" textlink="">
          <xdr:nvSpPr>
            <xdr:cNvPr id="1091" name="Check Box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73</xdr:row>
          <xdr:rowOff>7620</xdr:rowOff>
        </xdr:from>
        <xdr:to>
          <xdr:col>5</xdr:col>
          <xdr:colOff>601980</xdr:colOff>
          <xdr:row>74</xdr:row>
          <xdr:rowOff>0</xdr:rowOff>
        </xdr:to>
        <xdr:sp macro="" textlink="">
          <xdr:nvSpPr>
            <xdr:cNvPr id="1092" name="Check Box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0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74</xdr:row>
          <xdr:rowOff>7620</xdr:rowOff>
        </xdr:from>
        <xdr:to>
          <xdr:col>5</xdr:col>
          <xdr:colOff>601980</xdr:colOff>
          <xdr:row>75</xdr:row>
          <xdr:rowOff>0</xdr:rowOff>
        </xdr:to>
        <xdr:sp macro="" textlink="">
          <xdr:nvSpPr>
            <xdr:cNvPr id="1093" name="Check Box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75</xdr:row>
          <xdr:rowOff>7620</xdr:rowOff>
        </xdr:from>
        <xdr:to>
          <xdr:col>5</xdr:col>
          <xdr:colOff>601980</xdr:colOff>
          <xdr:row>76</xdr:row>
          <xdr:rowOff>0</xdr:rowOff>
        </xdr:to>
        <xdr:sp macro="" textlink="">
          <xdr:nvSpPr>
            <xdr:cNvPr id="1094" name="Check Box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0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9</xdr:row>
          <xdr:rowOff>7620</xdr:rowOff>
        </xdr:from>
        <xdr:to>
          <xdr:col>6</xdr:col>
          <xdr:colOff>601980</xdr:colOff>
          <xdr:row>10</xdr:row>
          <xdr:rowOff>0</xdr:rowOff>
        </xdr:to>
        <xdr:sp macro="" textlink="">
          <xdr:nvSpPr>
            <xdr:cNvPr id="1095" name="Check Box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10</xdr:row>
          <xdr:rowOff>7620</xdr:rowOff>
        </xdr:from>
        <xdr:to>
          <xdr:col>6</xdr:col>
          <xdr:colOff>601980</xdr:colOff>
          <xdr:row>11</xdr:row>
          <xdr:rowOff>0</xdr:rowOff>
        </xdr:to>
        <xdr:sp macro="" textlink="">
          <xdr:nvSpPr>
            <xdr:cNvPr id="1096" name="Check Box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11</xdr:row>
          <xdr:rowOff>7620</xdr:rowOff>
        </xdr:from>
        <xdr:to>
          <xdr:col>6</xdr:col>
          <xdr:colOff>601980</xdr:colOff>
          <xdr:row>12</xdr:row>
          <xdr:rowOff>0</xdr:rowOff>
        </xdr:to>
        <xdr:sp macro="" textlink="">
          <xdr:nvSpPr>
            <xdr:cNvPr id="1097" name="Check Box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12</xdr:row>
          <xdr:rowOff>7620</xdr:rowOff>
        </xdr:from>
        <xdr:to>
          <xdr:col>6</xdr:col>
          <xdr:colOff>601980</xdr:colOff>
          <xdr:row>13</xdr:row>
          <xdr:rowOff>0</xdr:rowOff>
        </xdr:to>
        <xdr:sp macro="" textlink="">
          <xdr:nvSpPr>
            <xdr:cNvPr id="1098" name="Check Box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13</xdr:row>
          <xdr:rowOff>7620</xdr:rowOff>
        </xdr:from>
        <xdr:to>
          <xdr:col>6</xdr:col>
          <xdr:colOff>601980</xdr:colOff>
          <xdr:row>14</xdr:row>
          <xdr:rowOff>0</xdr:rowOff>
        </xdr:to>
        <xdr:sp macro="" textlink="">
          <xdr:nvSpPr>
            <xdr:cNvPr id="1099" name="Check Box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14</xdr:row>
          <xdr:rowOff>7620</xdr:rowOff>
        </xdr:from>
        <xdr:to>
          <xdr:col>6</xdr:col>
          <xdr:colOff>601980</xdr:colOff>
          <xdr:row>15</xdr:row>
          <xdr:rowOff>0</xdr:rowOff>
        </xdr:to>
        <xdr:sp macro="" textlink="">
          <xdr:nvSpPr>
            <xdr:cNvPr id="1100" name="Check Box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15</xdr:row>
          <xdr:rowOff>7620</xdr:rowOff>
        </xdr:from>
        <xdr:to>
          <xdr:col>6</xdr:col>
          <xdr:colOff>601980</xdr:colOff>
          <xdr:row>16</xdr:row>
          <xdr:rowOff>0</xdr:rowOff>
        </xdr:to>
        <xdr:sp macro="" textlink="">
          <xdr:nvSpPr>
            <xdr:cNvPr id="1101" name="Check Box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0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16</xdr:row>
          <xdr:rowOff>7620</xdr:rowOff>
        </xdr:from>
        <xdr:to>
          <xdr:col>6</xdr:col>
          <xdr:colOff>601980</xdr:colOff>
          <xdr:row>17</xdr:row>
          <xdr:rowOff>0</xdr:rowOff>
        </xdr:to>
        <xdr:sp macro="" textlink="">
          <xdr:nvSpPr>
            <xdr:cNvPr id="1102" name="Check Box 78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0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17</xdr:row>
          <xdr:rowOff>7620</xdr:rowOff>
        </xdr:from>
        <xdr:to>
          <xdr:col>6</xdr:col>
          <xdr:colOff>601980</xdr:colOff>
          <xdr:row>18</xdr:row>
          <xdr:rowOff>0</xdr:rowOff>
        </xdr:to>
        <xdr:sp macro="" textlink="">
          <xdr:nvSpPr>
            <xdr:cNvPr id="1103" name="Check Box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18</xdr:row>
          <xdr:rowOff>7620</xdr:rowOff>
        </xdr:from>
        <xdr:to>
          <xdr:col>6</xdr:col>
          <xdr:colOff>601980</xdr:colOff>
          <xdr:row>19</xdr:row>
          <xdr:rowOff>0</xdr:rowOff>
        </xdr:to>
        <xdr:sp macro="" textlink="">
          <xdr:nvSpPr>
            <xdr:cNvPr id="1104" name="Check Box 80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9</xdr:row>
          <xdr:rowOff>7620</xdr:rowOff>
        </xdr:from>
        <xdr:to>
          <xdr:col>7</xdr:col>
          <xdr:colOff>601980</xdr:colOff>
          <xdr:row>10</xdr:row>
          <xdr:rowOff>0</xdr:rowOff>
        </xdr:to>
        <xdr:sp macro="" textlink="">
          <xdr:nvSpPr>
            <xdr:cNvPr id="1105" name="Check Box 81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10</xdr:row>
          <xdr:rowOff>7620</xdr:rowOff>
        </xdr:from>
        <xdr:to>
          <xdr:col>7</xdr:col>
          <xdr:colOff>601980</xdr:colOff>
          <xdr:row>11</xdr:row>
          <xdr:rowOff>0</xdr:rowOff>
        </xdr:to>
        <xdr:sp macro="" textlink="">
          <xdr:nvSpPr>
            <xdr:cNvPr id="1106" name="Check Box 82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0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11</xdr:row>
          <xdr:rowOff>7620</xdr:rowOff>
        </xdr:from>
        <xdr:to>
          <xdr:col>7</xdr:col>
          <xdr:colOff>601980</xdr:colOff>
          <xdr:row>12</xdr:row>
          <xdr:rowOff>0</xdr:rowOff>
        </xdr:to>
        <xdr:sp macro="" textlink="">
          <xdr:nvSpPr>
            <xdr:cNvPr id="1107" name="Check Box 83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0000-00005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12</xdr:row>
          <xdr:rowOff>7620</xdr:rowOff>
        </xdr:from>
        <xdr:to>
          <xdr:col>7</xdr:col>
          <xdr:colOff>601980</xdr:colOff>
          <xdr:row>13</xdr:row>
          <xdr:rowOff>0</xdr:rowOff>
        </xdr:to>
        <xdr:sp macro="" textlink="">
          <xdr:nvSpPr>
            <xdr:cNvPr id="1108" name="Check Box 84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0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13</xdr:row>
          <xdr:rowOff>7620</xdr:rowOff>
        </xdr:from>
        <xdr:to>
          <xdr:col>7</xdr:col>
          <xdr:colOff>601980</xdr:colOff>
          <xdr:row>14</xdr:row>
          <xdr:rowOff>0</xdr:rowOff>
        </xdr:to>
        <xdr:sp macro="" textlink="">
          <xdr:nvSpPr>
            <xdr:cNvPr id="1109" name="Check Box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0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14</xdr:row>
          <xdr:rowOff>7620</xdr:rowOff>
        </xdr:from>
        <xdr:to>
          <xdr:col>7</xdr:col>
          <xdr:colOff>601980</xdr:colOff>
          <xdr:row>15</xdr:row>
          <xdr:rowOff>0</xdr:rowOff>
        </xdr:to>
        <xdr:sp macro="" textlink="">
          <xdr:nvSpPr>
            <xdr:cNvPr id="1110" name="Check Box 86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0000000-0008-0000-0000-00005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15</xdr:row>
          <xdr:rowOff>7620</xdr:rowOff>
        </xdr:from>
        <xdr:to>
          <xdr:col>7</xdr:col>
          <xdr:colOff>601980</xdr:colOff>
          <xdr:row>16</xdr:row>
          <xdr:rowOff>0</xdr:rowOff>
        </xdr:to>
        <xdr:sp macro="" textlink="">
          <xdr:nvSpPr>
            <xdr:cNvPr id="1111" name="Check Box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0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16</xdr:row>
          <xdr:rowOff>7620</xdr:rowOff>
        </xdr:from>
        <xdr:to>
          <xdr:col>7</xdr:col>
          <xdr:colOff>601980</xdr:colOff>
          <xdr:row>17</xdr:row>
          <xdr:rowOff>0</xdr:rowOff>
        </xdr:to>
        <xdr:sp macro="" textlink="">
          <xdr:nvSpPr>
            <xdr:cNvPr id="1112" name="Check Box 88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00000000-0008-0000-0000-00005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17</xdr:row>
          <xdr:rowOff>7620</xdr:rowOff>
        </xdr:from>
        <xdr:to>
          <xdr:col>7</xdr:col>
          <xdr:colOff>601980</xdr:colOff>
          <xdr:row>18</xdr:row>
          <xdr:rowOff>0</xdr:rowOff>
        </xdr:to>
        <xdr:sp macro="" textlink="">
          <xdr:nvSpPr>
            <xdr:cNvPr id="1113" name="Check Box 89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00000000-0008-0000-0000-00005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18</xdr:row>
          <xdr:rowOff>7620</xdr:rowOff>
        </xdr:from>
        <xdr:to>
          <xdr:col>7</xdr:col>
          <xdr:colOff>601980</xdr:colOff>
          <xdr:row>19</xdr:row>
          <xdr:rowOff>0</xdr:rowOff>
        </xdr:to>
        <xdr:sp macro="" textlink="">
          <xdr:nvSpPr>
            <xdr:cNvPr id="1114" name="Check Box 90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000-00005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9</xdr:row>
          <xdr:rowOff>7620</xdr:rowOff>
        </xdr:from>
        <xdr:to>
          <xdr:col>8</xdr:col>
          <xdr:colOff>601980</xdr:colOff>
          <xdr:row>10</xdr:row>
          <xdr:rowOff>0</xdr:rowOff>
        </xdr:to>
        <xdr:sp macro="" textlink="">
          <xdr:nvSpPr>
            <xdr:cNvPr id="1115" name="Check Box 91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000-00005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10</xdr:row>
          <xdr:rowOff>7620</xdr:rowOff>
        </xdr:from>
        <xdr:to>
          <xdr:col>8</xdr:col>
          <xdr:colOff>601980</xdr:colOff>
          <xdr:row>11</xdr:row>
          <xdr:rowOff>0</xdr:rowOff>
        </xdr:to>
        <xdr:sp macro="" textlink="">
          <xdr:nvSpPr>
            <xdr:cNvPr id="1116" name="Check Box 92" hidden="1">
              <a:extLst>
                <a:ext uri="{63B3BB69-23CF-44E3-9099-C40C66FF867C}">
                  <a14:compatExt spid="_x0000_s1116"/>
                </a:ext>
                <a:ext uri="{FF2B5EF4-FFF2-40B4-BE49-F238E27FC236}">
                  <a16:creationId xmlns:a16="http://schemas.microsoft.com/office/drawing/2014/main" id="{00000000-0008-0000-0000-00005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11</xdr:row>
          <xdr:rowOff>7620</xdr:rowOff>
        </xdr:from>
        <xdr:to>
          <xdr:col>8</xdr:col>
          <xdr:colOff>601980</xdr:colOff>
          <xdr:row>12</xdr:row>
          <xdr:rowOff>0</xdr:rowOff>
        </xdr:to>
        <xdr:sp macro="" textlink="">
          <xdr:nvSpPr>
            <xdr:cNvPr id="1117" name="Check Box 93" hidden="1">
              <a:extLst>
                <a:ext uri="{63B3BB69-23CF-44E3-9099-C40C66FF867C}">
                  <a14:compatExt spid="_x0000_s1117"/>
                </a:ext>
                <a:ext uri="{FF2B5EF4-FFF2-40B4-BE49-F238E27FC236}">
                  <a16:creationId xmlns:a16="http://schemas.microsoft.com/office/drawing/2014/main" id="{00000000-0008-0000-0000-00005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12</xdr:row>
          <xdr:rowOff>7620</xdr:rowOff>
        </xdr:from>
        <xdr:to>
          <xdr:col>8</xdr:col>
          <xdr:colOff>601980</xdr:colOff>
          <xdr:row>13</xdr:row>
          <xdr:rowOff>0</xdr:rowOff>
        </xdr:to>
        <xdr:sp macro="" textlink="">
          <xdr:nvSpPr>
            <xdr:cNvPr id="1118" name="Check Box 94" hidden="1">
              <a:extLst>
                <a:ext uri="{63B3BB69-23CF-44E3-9099-C40C66FF867C}">
                  <a14:compatExt spid="_x0000_s1118"/>
                </a:ext>
                <a:ext uri="{FF2B5EF4-FFF2-40B4-BE49-F238E27FC236}">
                  <a16:creationId xmlns:a16="http://schemas.microsoft.com/office/drawing/2014/main" id="{00000000-0008-0000-0000-00005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13</xdr:row>
          <xdr:rowOff>7620</xdr:rowOff>
        </xdr:from>
        <xdr:to>
          <xdr:col>8</xdr:col>
          <xdr:colOff>601980</xdr:colOff>
          <xdr:row>14</xdr:row>
          <xdr:rowOff>0</xdr:rowOff>
        </xdr:to>
        <xdr:sp macro="" textlink="">
          <xdr:nvSpPr>
            <xdr:cNvPr id="1119" name="Check Box 95" hidden="1">
              <a:extLst>
                <a:ext uri="{63B3BB69-23CF-44E3-9099-C40C66FF867C}">
                  <a14:compatExt spid="_x0000_s1119"/>
                </a:ext>
                <a:ext uri="{FF2B5EF4-FFF2-40B4-BE49-F238E27FC236}">
                  <a16:creationId xmlns:a16="http://schemas.microsoft.com/office/drawing/2014/main" id="{00000000-0008-0000-0000-00005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14</xdr:row>
          <xdr:rowOff>7620</xdr:rowOff>
        </xdr:from>
        <xdr:to>
          <xdr:col>8</xdr:col>
          <xdr:colOff>601980</xdr:colOff>
          <xdr:row>15</xdr:row>
          <xdr:rowOff>0</xdr:rowOff>
        </xdr:to>
        <xdr:sp macro="" textlink="">
          <xdr:nvSpPr>
            <xdr:cNvPr id="1120" name="Check Box 96" hidden="1">
              <a:extLst>
                <a:ext uri="{63B3BB69-23CF-44E3-9099-C40C66FF867C}">
                  <a14:compatExt spid="_x0000_s1120"/>
                </a:ext>
                <a:ext uri="{FF2B5EF4-FFF2-40B4-BE49-F238E27FC236}">
                  <a16:creationId xmlns:a16="http://schemas.microsoft.com/office/drawing/2014/main" id="{00000000-0008-0000-0000-00006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15</xdr:row>
          <xdr:rowOff>7620</xdr:rowOff>
        </xdr:from>
        <xdr:to>
          <xdr:col>8</xdr:col>
          <xdr:colOff>601980</xdr:colOff>
          <xdr:row>16</xdr:row>
          <xdr:rowOff>0</xdr:rowOff>
        </xdr:to>
        <xdr:sp macro="" textlink="">
          <xdr:nvSpPr>
            <xdr:cNvPr id="1121" name="Check Box 97" hidden="1">
              <a:extLst>
                <a:ext uri="{63B3BB69-23CF-44E3-9099-C40C66FF867C}">
                  <a14:compatExt spid="_x0000_s1121"/>
                </a:ext>
                <a:ext uri="{FF2B5EF4-FFF2-40B4-BE49-F238E27FC236}">
                  <a16:creationId xmlns:a16="http://schemas.microsoft.com/office/drawing/2014/main" id="{00000000-0008-0000-0000-00006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16</xdr:row>
          <xdr:rowOff>7620</xdr:rowOff>
        </xdr:from>
        <xdr:to>
          <xdr:col>8</xdr:col>
          <xdr:colOff>601980</xdr:colOff>
          <xdr:row>17</xdr:row>
          <xdr:rowOff>0</xdr:rowOff>
        </xdr:to>
        <xdr:sp macro="" textlink="">
          <xdr:nvSpPr>
            <xdr:cNvPr id="1122" name="Check Box 98" hidden="1">
              <a:extLst>
                <a:ext uri="{63B3BB69-23CF-44E3-9099-C40C66FF867C}">
                  <a14:compatExt spid="_x0000_s1122"/>
                </a:ext>
                <a:ext uri="{FF2B5EF4-FFF2-40B4-BE49-F238E27FC236}">
                  <a16:creationId xmlns:a16="http://schemas.microsoft.com/office/drawing/2014/main" id="{00000000-0008-0000-0000-00006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17</xdr:row>
          <xdr:rowOff>7620</xdr:rowOff>
        </xdr:from>
        <xdr:to>
          <xdr:col>8</xdr:col>
          <xdr:colOff>601980</xdr:colOff>
          <xdr:row>18</xdr:row>
          <xdr:rowOff>0</xdr:rowOff>
        </xdr:to>
        <xdr:sp macro="" textlink="">
          <xdr:nvSpPr>
            <xdr:cNvPr id="1123" name="Check Box 99" hidden="1">
              <a:extLst>
                <a:ext uri="{63B3BB69-23CF-44E3-9099-C40C66FF867C}">
                  <a14:compatExt spid="_x0000_s1123"/>
                </a:ext>
                <a:ext uri="{FF2B5EF4-FFF2-40B4-BE49-F238E27FC236}">
                  <a16:creationId xmlns:a16="http://schemas.microsoft.com/office/drawing/2014/main" id="{00000000-0008-0000-0000-00006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18</xdr:row>
          <xdr:rowOff>7620</xdr:rowOff>
        </xdr:from>
        <xdr:to>
          <xdr:col>8</xdr:col>
          <xdr:colOff>601980</xdr:colOff>
          <xdr:row>19</xdr:row>
          <xdr:rowOff>0</xdr:rowOff>
        </xdr:to>
        <xdr:sp macro="" textlink="">
          <xdr:nvSpPr>
            <xdr:cNvPr id="1124" name="Check Box 100" hidden="1">
              <a:extLst>
                <a:ext uri="{63B3BB69-23CF-44E3-9099-C40C66FF867C}">
                  <a14:compatExt spid="_x0000_s1124"/>
                </a:ext>
                <a:ext uri="{FF2B5EF4-FFF2-40B4-BE49-F238E27FC236}">
                  <a16:creationId xmlns:a16="http://schemas.microsoft.com/office/drawing/2014/main" id="{00000000-0008-0000-0000-00006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12</xdr:row>
          <xdr:rowOff>7620</xdr:rowOff>
        </xdr:from>
        <xdr:to>
          <xdr:col>6</xdr:col>
          <xdr:colOff>601980</xdr:colOff>
          <xdr:row>13</xdr:row>
          <xdr:rowOff>0</xdr:rowOff>
        </xdr:to>
        <xdr:sp macro="" textlink="">
          <xdr:nvSpPr>
            <xdr:cNvPr id="1125" name="Check Box 101" hidden="1">
              <a:extLst>
                <a:ext uri="{63B3BB69-23CF-44E3-9099-C40C66FF867C}">
                  <a14:compatExt spid="_x0000_s1125"/>
                </a:ext>
                <a:ext uri="{FF2B5EF4-FFF2-40B4-BE49-F238E27FC236}">
                  <a16:creationId xmlns:a16="http://schemas.microsoft.com/office/drawing/2014/main" id="{00000000-0008-0000-0000-00006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13</xdr:row>
          <xdr:rowOff>7620</xdr:rowOff>
        </xdr:from>
        <xdr:to>
          <xdr:col>6</xdr:col>
          <xdr:colOff>601980</xdr:colOff>
          <xdr:row>14</xdr:row>
          <xdr:rowOff>0</xdr:rowOff>
        </xdr:to>
        <xdr:sp macro="" textlink="">
          <xdr:nvSpPr>
            <xdr:cNvPr id="1126" name="Check Box 102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00000000-0008-0000-0000-00006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14</xdr:row>
          <xdr:rowOff>7620</xdr:rowOff>
        </xdr:from>
        <xdr:to>
          <xdr:col>6</xdr:col>
          <xdr:colOff>601980</xdr:colOff>
          <xdr:row>15</xdr:row>
          <xdr:rowOff>0</xdr:rowOff>
        </xdr:to>
        <xdr:sp macro="" textlink="">
          <xdr:nvSpPr>
            <xdr:cNvPr id="1127" name="Check Box 103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00000000-0008-0000-0000-00006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15</xdr:row>
          <xdr:rowOff>7620</xdr:rowOff>
        </xdr:from>
        <xdr:to>
          <xdr:col>6</xdr:col>
          <xdr:colOff>601980</xdr:colOff>
          <xdr:row>16</xdr:row>
          <xdr:rowOff>0</xdr:rowOff>
        </xdr:to>
        <xdr:sp macro="" textlink="">
          <xdr:nvSpPr>
            <xdr:cNvPr id="1128" name="Check Box 104" hidden="1">
              <a:extLst>
                <a:ext uri="{63B3BB69-23CF-44E3-9099-C40C66FF867C}">
                  <a14:compatExt spid="_x0000_s1128"/>
                </a:ext>
                <a:ext uri="{FF2B5EF4-FFF2-40B4-BE49-F238E27FC236}">
                  <a16:creationId xmlns:a16="http://schemas.microsoft.com/office/drawing/2014/main" id="{00000000-0008-0000-0000-00006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16</xdr:row>
          <xdr:rowOff>7620</xdr:rowOff>
        </xdr:from>
        <xdr:to>
          <xdr:col>6</xdr:col>
          <xdr:colOff>601980</xdr:colOff>
          <xdr:row>17</xdr:row>
          <xdr:rowOff>0</xdr:rowOff>
        </xdr:to>
        <xdr:sp macro="" textlink="">
          <xdr:nvSpPr>
            <xdr:cNvPr id="1129" name="Check Box 105" hidden="1">
              <a:extLst>
                <a:ext uri="{63B3BB69-23CF-44E3-9099-C40C66FF867C}">
                  <a14:compatExt spid="_x0000_s1129"/>
                </a:ext>
                <a:ext uri="{FF2B5EF4-FFF2-40B4-BE49-F238E27FC236}">
                  <a16:creationId xmlns:a16="http://schemas.microsoft.com/office/drawing/2014/main" id="{00000000-0008-0000-0000-00006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17</xdr:row>
          <xdr:rowOff>7620</xdr:rowOff>
        </xdr:from>
        <xdr:to>
          <xdr:col>6</xdr:col>
          <xdr:colOff>601980</xdr:colOff>
          <xdr:row>18</xdr:row>
          <xdr:rowOff>0</xdr:rowOff>
        </xdr:to>
        <xdr:sp macro="" textlink="">
          <xdr:nvSpPr>
            <xdr:cNvPr id="1130" name="Check Box 106" hidden="1">
              <a:extLst>
                <a:ext uri="{63B3BB69-23CF-44E3-9099-C40C66FF867C}">
                  <a14:compatExt spid="_x0000_s1130"/>
                </a:ext>
                <a:ext uri="{FF2B5EF4-FFF2-40B4-BE49-F238E27FC236}">
                  <a16:creationId xmlns:a16="http://schemas.microsoft.com/office/drawing/2014/main" id="{00000000-0008-0000-0000-00006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18</xdr:row>
          <xdr:rowOff>7620</xdr:rowOff>
        </xdr:from>
        <xdr:to>
          <xdr:col>6</xdr:col>
          <xdr:colOff>601980</xdr:colOff>
          <xdr:row>19</xdr:row>
          <xdr:rowOff>0</xdr:rowOff>
        </xdr:to>
        <xdr:sp macro="" textlink="">
          <xdr:nvSpPr>
            <xdr:cNvPr id="1131" name="Check Box 107" hidden="1">
              <a:extLst>
                <a:ext uri="{63B3BB69-23CF-44E3-9099-C40C66FF867C}">
                  <a14:compatExt spid="_x0000_s1131"/>
                </a:ext>
                <a:ext uri="{FF2B5EF4-FFF2-40B4-BE49-F238E27FC236}">
                  <a16:creationId xmlns:a16="http://schemas.microsoft.com/office/drawing/2014/main" id="{00000000-0008-0000-0000-00006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25</xdr:row>
          <xdr:rowOff>22860</xdr:rowOff>
        </xdr:from>
        <xdr:to>
          <xdr:col>7</xdr:col>
          <xdr:colOff>982980</xdr:colOff>
          <xdr:row>25</xdr:row>
          <xdr:rowOff>220980</xdr:rowOff>
        </xdr:to>
        <xdr:sp macro="" textlink="">
          <xdr:nvSpPr>
            <xdr:cNvPr id="1132" name="Drop Down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26</xdr:row>
          <xdr:rowOff>22860</xdr:rowOff>
        </xdr:from>
        <xdr:to>
          <xdr:col>7</xdr:col>
          <xdr:colOff>982980</xdr:colOff>
          <xdr:row>26</xdr:row>
          <xdr:rowOff>220980</xdr:rowOff>
        </xdr:to>
        <xdr:sp macro="" textlink="">
          <xdr:nvSpPr>
            <xdr:cNvPr id="1133" name="Drop Down 109" hidden="1">
              <a:extLst>
                <a:ext uri="{63B3BB69-23CF-44E3-9099-C40C66FF867C}">
                  <a14:compatExt spid="_x0000_s1133"/>
                </a:ext>
                <a:ext uri="{FF2B5EF4-FFF2-40B4-BE49-F238E27FC236}">
                  <a16:creationId xmlns:a16="http://schemas.microsoft.com/office/drawing/2014/main" id="{00000000-0008-0000-0000-00006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27</xdr:row>
          <xdr:rowOff>22860</xdr:rowOff>
        </xdr:from>
        <xdr:to>
          <xdr:col>7</xdr:col>
          <xdr:colOff>982980</xdr:colOff>
          <xdr:row>27</xdr:row>
          <xdr:rowOff>220980</xdr:rowOff>
        </xdr:to>
        <xdr:sp macro="" textlink="">
          <xdr:nvSpPr>
            <xdr:cNvPr id="1134" name="Drop Dow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28</xdr:row>
          <xdr:rowOff>22860</xdr:rowOff>
        </xdr:from>
        <xdr:to>
          <xdr:col>7</xdr:col>
          <xdr:colOff>982980</xdr:colOff>
          <xdr:row>28</xdr:row>
          <xdr:rowOff>220980</xdr:rowOff>
        </xdr:to>
        <xdr:sp macro="" textlink="">
          <xdr:nvSpPr>
            <xdr:cNvPr id="1135" name="Drop Dow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29</xdr:row>
          <xdr:rowOff>22860</xdr:rowOff>
        </xdr:from>
        <xdr:to>
          <xdr:col>7</xdr:col>
          <xdr:colOff>982980</xdr:colOff>
          <xdr:row>29</xdr:row>
          <xdr:rowOff>220980</xdr:rowOff>
        </xdr:to>
        <xdr:sp macro="" textlink="">
          <xdr:nvSpPr>
            <xdr:cNvPr id="1136" name="Drop Dow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25</xdr:row>
          <xdr:rowOff>7620</xdr:rowOff>
        </xdr:from>
        <xdr:to>
          <xdr:col>8</xdr:col>
          <xdr:colOff>601980</xdr:colOff>
          <xdr:row>26</xdr:row>
          <xdr:rowOff>0</xdr:rowOff>
        </xdr:to>
        <xdr:sp macro="" textlink="">
          <xdr:nvSpPr>
            <xdr:cNvPr id="1137" name="Check Box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26</xdr:row>
          <xdr:rowOff>7620</xdr:rowOff>
        </xdr:from>
        <xdr:to>
          <xdr:col>8</xdr:col>
          <xdr:colOff>601980</xdr:colOff>
          <xdr:row>27</xdr:row>
          <xdr:rowOff>0</xdr:rowOff>
        </xdr:to>
        <xdr:sp macro="" textlink="">
          <xdr:nvSpPr>
            <xdr:cNvPr id="1138" name="Check Box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27</xdr:row>
          <xdr:rowOff>7620</xdr:rowOff>
        </xdr:from>
        <xdr:to>
          <xdr:col>8</xdr:col>
          <xdr:colOff>601980</xdr:colOff>
          <xdr:row>28</xdr:row>
          <xdr:rowOff>0</xdr:rowOff>
        </xdr:to>
        <xdr:sp macro="" textlink="">
          <xdr:nvSpPr>
            <xdr:cNvPr id="1139" name="Check Box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28</xdr:row>
          <xdr:rowOff>7620</xdr:rowOff>
        </xdr:from>
        <xdr:to>
          <xdr:col>8</xdr:col>
          <xdr:colOff>601980</xdr:colOff>
          <xdr:row>29</xdr:row>
          <xdr:rowOff>0</xdr:rowOff>
        </xdr:to>
        <xdr:sp macro="" textlink="">
          <xdr:nvSpPr>
            <xdr:cNvPr id="1140" name="Check Box 116" hidden="1">
              <a:extLst>
                <a:ext uri="{63B3BB69-23CF-44E3-9099-C40C66FF867C}">
                  <a14:compatExt spid="_x0000_s1140"/>
                </a:ext>
                <a:ext uri="{FF2B5EF4-FFF2-40B4-BE49-F238E27FC236}">
                  <a16:creationId xmlns:a16="http://schemas.microsoft.com/office/drawing/2014/main" id="{00000000-0008-0000-0000-00007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29</xdr:row>
          <xdr:rowOff>7620</xdr:rowOff>
        </xdr:from>
        <xdr:to>
          <xdr:col>8</xdr:col>
          <xdr:colOff>601980</xdr:colOff>
          <xdr:row>30</xdr:row>
          <xdr:rowOff>0</xdr:rowOff>
        </xdr:to>
        <xdr:sp macro="" textlink="">
          <xdr:nvSpPr>
            <xdr:cNvPr id="1141" name="Check Box 117" hidden="1">
              <a:extLst>
                <a:ext uri="{63B3BB69-23CF-44E3-9099-C40C66FF867C}">
                  <a14:compatExt spid="_x0000_s1141"/>
                </a:ext>
                <a:ext uri="{FF2B5EF4-FFF2-40B4-BE49-F238E27FC236}">
                  <a16:creationId xmlns:a16="http://schemas.microsoft.com/office/drawing/2014/main" id="{00000000-0008-0000-0000-00007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5</xdr:row>
          <xdr:rowOff>7620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1142" name="Drop Dow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</xdr:colOff>
          <xdr:row>8</xdr:row>
          <xdr:rowOff>22860</xdr:rowOff>
        </xdr:from>
        <xdr:to>
          <xdr:col>8</xdr:col>
          <xdr:colOff>1379220</xdr:colOff>
          <xdr:row>8</xdr:row>
          <xdr:rowOff>220980</xdr:rowOff>
        </xdr:to>
        <xdr:sp macro="" textlink="">
          <xdr:nvSpPr>
            <xdr:cNvPr id="1143" name="Drop Dow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33</xdr:row>
          <xdr:rowOff>7620</xdr:rowOff>
        </xdr:from>
        <xdr:to>
          <xdr:col>7</xdr:col>
          <xdr:colOff>601980</xdr:colOff>
          <xdr:row>34</xdr:row>
          <xdr:rowOff>0</xdr:rowOff>
        </xdr:to>
        <xdr:sp macro="" textlink="">
          <xdr:nvSpPr>
            <xdr:cNvPr id="1145" name="Check Box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0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34</xdr:row>
          <xdr:rowOff>7620</xdr:rowOff>
        </xdr:from>
        <xdr:to>
          <xdr:col>7</xdr:col>
          <xdr:colOff>601980</xdr:colOff>
          <xdr:row>35</xdr:row>
          <xdr:rowOff>0</xdr:rowOff>
        </xdr:to>
        <xdr:sp macro="" textlink="">
          <xdr:nvSpPr>
            <xdr:cNvPr id="1146" name="Check Box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35</xdr:row>
          <xdr:rowOff>7620</xdr:rowOff>
        </xdr:from>
        <xdr:to>
          <xdr:col>7</xdr:col>
          <xdr:colOff>601980</xdr:colOff>
          <xdr:row>36</xdr:row>
          <xdr:rowOff>0</xdr:rowOff>
        </xdr:to>
        <xdr:sp macro="" textlink="">
          <xdr:nvSpPr>
            <xdr:cNvPr id="1147" name="Check Box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0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36</xdr:row>
          <xdr:rowOff>7620</xdr:rowOff>
        </xdr:from>
        <xdr:to>
          <xdr:col>7</xdr:col>
          <xdr:colOff>601980</xdr:colOff>
          <xdr:row>37</xdr:row>
          <xdr:rowOff>0</xdr:rowOff>
        </xdr:to>
        <xdr:sp macro="" textlink="">
          <xdr:nvSpPr>
            <xdr:cNvPr id="1148" name="Check Box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37</xdr:row>
          <xdr:rowOff>7620</xdr:rowOff>
        </xdr:from>
        <xdr:to>
          <xdr:col>7</xdr:col>
          <xdr:colOff>601980</xdr:colOff>
          <xdr:row>38</xdr:row>
          <xdr:rowOff>0</xdr:rowOff>
        </xdr:to>
        <xdr:sp macro="" textlink="">
          <xdr:nvSpPr>
            <xdr:cNvPr id="1149" name="Check Box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38</xdr:row>
          <xdr:rowOff>7620</xdr:rowOff>
        </xdr:from>
        <xdr:to>
          <xdr:col>7</xdr:col>
          <xdr:colOff>601980</xdr:colOff>
          <xdr:row>39</xdr:row>
          <xdr:rowOff>0</xdr:rowOff>
        </xdr:to>
        <xdr:sp macro="" textlink="">
          <xdr:nvSpPr>
            <xdr:cNvPr id="1150" name="Check Box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39</xdr:row>
          <xdr:rowOff>7620</xdr:rowOff>
        </xdr:from>
        <xdr:to>
          <xdr:col>7</xdr:col>
          <xdr:colOff>601980</xdr:colOff>
          <xdr:row>40</xdr:row>
          <xdr:rowOff>0</xdr:rowOff>
        </xdr:to>
        <xdr:sp macro="" textlink="">
          <xdr:nvSpPr>
            <xdr:cNvPr id="1151" name="Check Box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40</xdr:row>
          <xdr:rowOff>7620</xdr:rowOff>
        </xdr:from>
        <xdr:to>
          <xdr:col>7</xdr:col>
          <xdr:colOff>601980</xdr:colOff>
          <xdr:row>41</xdr:row>
          <xdr:rowOff>0</xdr:rowOff>
        </xdr:to>
        <xdr:sp macro="" textlink="">
          <xdr:nvSpPr>
            <xdr:cNvPr id="1152" name="Check Box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41</xdr:row>
          <xdr:rowOff>7620</xdr:rowOff>
        </xdr:from>
        <xdr:to>
          <xdr:col>7</xdr:col>
          <xdr:colOff>601980</xdr:colOff>
          <xdr:row>42</xdr:row>
          <xdr:rowOff>0</xdr:rowOff>
        </xdr:to>
        <xdr:sp macro="" textlink="">
          <xdr:nvSpPr>
            <xdr:cNvPr id="1153" name="Check Box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42</xdr:row>
          <xdr:rowOff>7620</xdr:rowOff>
        </xdr:from>
        <xdr:to>
          <xdr:col>7</xdr:col>
          <xdr:colOff>601980</xdr:colOff>
          <xdr:row>43</xdr:row>
          <xdr:rowOff>0</xdr:rowOff>
        </xdr:to>
        <xdr:sp macro="" textlink="">
          <xdr:nvSpPr>
            <xdr:cNvPr id="1154" name="Check Box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20</xdr:row>
          <xdr:rowOff>7620</xdr:rowOff>
        </xdr:from>
        <xdr:to>
          <xdr:col>2</xdr:col>
          <xdr:colOff>457200</xdr:colOff>
          <xdr:row>21</xdr:row>
          <xdr:rowOff>0</xdr:rowOff>
        </xdr:to>
        <xdr:sp macro="" textlink="">
          <xdr:nvSpPr>
            <xdr:cNvPr id="1155" name="Check Box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43</xdr:row>
          <xdr:rowOff>7620</xdr:rowOff>
        </xdr:from>
        <xdr:to>
          <xdr:col>2</xdr:col>
          <xdr:colOff>457200</xdr:colOff>
          <xdr:row>43</xdr:row>
          <xdr:rowOff>228600</xdr:rowOff>
        </xdr:to>
        <xdr:sp macro="" textlink="">
          <xdr:nvSpPr>
            <xdr:cNvPr id="1156" name="Check Box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30</xdr:row>
          <xdr:rowOff>7620</xdr:rowOff>
        </xdr:from>
        <xdr:to>
          <xdr:col>2</xdr:col>
          <xdr:colOff>419100</xdr:colOff>
          <xdr:row>31</xdr:row>
          <xdr:rowOff>0</xdr:rowOff>
        </xdr:to>
        <xdr:sp macro="" textlink="">
          <xdr:nvSpPr>
            <xdr:cNvPr id="1171" name="Check Box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0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uk-U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79</xdr:row>
          <xdr:rowOff>22860</xdr:rowOff>
        </xdr:from>
        <xdr:to>
          <xdr:col>4</xdr:col>
          <xdr:colOff>982980</xdr:colOff>
          <xdr:row>79</xdr:row>
          <xdr:rowOff>220980</xdr:rowOff>
        </xdr:to>
        <xdr:sp macro="" textlink="">
          <xdr:nvSpPr>
            <xdr:cNvPr id="1173" name="Drop Dow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0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80</xdr:row>
          <xdr:rowOff>22860</xdr:rowOff>
        </xdr:from>
        <xdr:to>
          <xdr:col>4</xdr:col>
          <xdr:colOff>982980</xdr:colOff>
          <xdr:row>80</xdr:row>
          <xdr:rowOff>220980</xdr:rowOff>
        </xdr:to>
        <xdr:sp macro="" textlink="">
          <xdr:nvSpPr>
            <xdr:cNvPr id="1174" name="Drop Dow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0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81</xdr:row>
          <xdr:rowOff>22860</xdr:rowOff>
        </xdr:from>
        <xdr:to>
          <xdr:col>4</xdr:col>
          <xdr:colOff>982980</xdr:colOff>
          <xdr:row>81</xdr:row>
          <xdr:rowOff>220980</xdr:rowOff>
        </xdr:to>
        <xdr:sp macro="" textlink="">
          <xdr:nvSpPr>
            <xdr:cNvPr id="1175" name="Drop Dow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0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82</xdr:row>
          <xdr:rowOff>22860</xdr:rowOff>
        </xdr:from>
        <xdr:to>
          <xdr:col>4</xdr:col>
          <xdr:colOff>982980</xdr:colOff>
          <xdr:row>82</xdr:row>
          <xdr:rowOff>220980</xdr:rowOff>
        </xdr:to>
        <xdr:sp macro="" textlink="">
          <xdr:nvSpPr>
            <xdr:cNvPr id="1176" name="Drop Dow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0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83</xdr:row>
          <xdr:rowOff>22860</xdr:rowOff>
        </xdr:from>
        <xdr:to>
          <xdr:col>4</xdr:col>
          <xdr:colOff>982980</xdr:colOff>
          <xdr:row>83</xdr:row>
          <xdr:rowOff>220980</xdr:rowOff>
        </xdr:to>
        <xdr:sp macro="" textlink="">
          <xdr:nvSpPr>
            <xdr:cNvPr id="1177" name="Drop Dow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0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79</xdr:row>
          <xdr:rowOff>7620</xdr:rowOff>
        </xdr:from>
        <xdr:to>
          <xdr:col>5</xdr:col>
          <xdr:colOff>601980</xdr:colOff>
          <xdr:row>80</xdr:row>
          <xdr:rowOff>0</xdr:rowOff>
        </xdr:to>
        <xdr:sp macro="" textlink="">
          <xdr:nvSpPr>
            <xdr:cNvPr id="1178" name="Check Box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0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80</xdr:row>
          <xdr:rowOff>7620</xdr:rowOff>
        </xdr:from>
        <xdr:to>
          <xdr:col>5</xdr:col>
          <xdr:colOff>601980</xdr:colOff>
          <xdr:row>81</xdr:row>
          <xdr:rowOff>0</xdr:rowOff>
        </xdr:to>
        <xdr:sp macro="" textlink="">
          <xdr:nvSpPr>
            <xdr:cNvPr id="1179" name="Check Box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0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81</xdr:row>
          <xdr:rowOff>7620</xdr:rowOff>
        </xdr:from>
        <xdr:to>
          <xdr:col>5</xdr:col>
          <xdr:colOff>601980</xdr:colOff>
          <xdr:row>82</xdr:row>
          <xdr:rowOff>0</xdr:rowOff>
        </xdr:to>
        <xdr:sp macro="" textlink="">
          <xdr:nvSpPr>
            <xdr:cNvPr id="1180" name="Check Box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0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82</xdr:row>
          <xdr:rowOff>7620</xdr:rowOff>
        </xdr:from>
        <xdr:to>
          <xdr:col>5</xdr:col>
          <xdr:colOff>601980</xdr:colOff>
          <xdr:row>83</xdr:row>
          <xdr:rowOff>0</xdr:rowOff>
        </xdr:to>
        <xdr:sp macro="" textlink="">
          <xdr:nvSpPr>
            <xdr:cNvPr id="1181" name="Check Box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0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83</xdr:row>
          <xdr:rowOff>7620</xdr:rowOff>
        </xdr:from>
        <xdr:to>
          <xdr:col>5</xdr:col>
          <xdr:colOff>601980</xdr:colOff>
          <xdr:row>84</xdr:row>
          <xdr:rowOff>0</xdr:rowOff>
        </xdr:to>
        <xdr:sp macro="" textlink="">
          <xdr:nvSpPr>
            <xdr:cNvPr id="1182" name="Check Box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0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388620</xdr:colOff>
          <xdr:row>4</xdr:row>
          <xdr:rowOff>160020</xdr:rowOff>
        </xdr:from>
        <xdr:to>
          <xdr:col>8</xdr:col>
          <xdr:colOff>441960</xdr:colOff>
          <xdr:row>6</xdr:row>
          <xdr:rowOff>68580</xdr:rowOff>
        </xdr:to>
        <xdr:sp macro="" textlink="">
          <xdr:nvSpPr>
            <xdr:cNvPr id="6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uk-UA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Обнулить все значения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581025</xdr:colOff>
      <xdr:row>0</xdr:row>
      <xdr:rowOff>0</xdr:rowOff>
    </xdr:from>
    <xdr:to>
      <xdr:col>2</xdr:col>
      <xdr:colOff>886654</xdr:colOff>
      <xdr:row>2</xdr:row>
      <xdr:rowOff>4141</xdr:rowOff>
    </xdr:to>
    <xdr:pic>
      <xdr:nvPicPr>
        <xdr:cNvPr id="2" name="Рисунок 3" descr="C:\Documents and Settings\morgun\Мои документы\лого мизол.jpg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81025" y="0"/>
          <a:ext cx="1296229" cy="48039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6</xdr:col>
      <xdr:colOff>828675</xdr:colOff>
      <xdr:row>0</xdr:row>
      <xdr:rowOff>142875</xdr:rowOff>
    </xdr:from>
    <xdr:to>
      <xdr:col>6</xdr:col>
      <xdr:colOff>1333500</xdr:colOff>
      <xdr:row>2</xdr:row>
      <xdr:rowOff>196075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7934325" y="142875"/>
          <a:ext cx="504825" cy="529450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66676</xdr:colOff>
      <xdr:row>0</xdr:row>
      <xdr:rowOff>1</xdr:rowOff>
    </xdr:from>
    <xdr:to>
      <xdr:col>7</xdr:col>
      <xdr:colOff>542925</xdr:colOff>
      <xdr:row>13</xdr:row>
      <xdr:rowOff>47821</xdr:rowOff>
    </xdr:to>
    <xdr:pic>
      <xdr:nvPicPr>
        <xdr:cNvPr id="5" name="Picture 6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r="20513"/>
        <a:stretch>
          <a:fillRect/>
        </a:stretch>
      </xdr:blipFill>
      <xdr:spPr bwMode="auto">
        <a:xfrm>
          <a:off x="2952751" y="1"/>
          <a:ext cx="4133849" cy="359112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457200</xdr:colOff>
      <xdr:row>10</xdr:row>
      <xdr:rowOff>0</xdr:rowOff>
    </xdr:from>
    <xdr:to>
      <xdr:col>11</xdr:col>
      <xdr:colOff>323850</xdr:colOff>
      <xdr:row>34</xdr:row>
      <xdr:rowOff>50432</xdr:rowOff>
    </xdr:to>
    <xdr:pic>
      <xdr:nvPicPr>
        <xdr:cNvPr id="7" name="Picture 10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 r="15234"/>
        <a:stretch>
          <a:fillRect/>
        </a:stretch>
      </xdr:blipFill>
      <xdr:spPr bwMode="auto">
        <a:xfrm>
          <a:off x="3952875" y="2971800"/>
          <a:ext cx="5353050" cy="4622432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0</xdr:colOff>
      <xdr:row>7</xdr:row>
      <xdr:rowOff>152400</xdr:rowOff>
    </xdr:from>
    <xdr:to>
      <xdr:col>3</xdr:col>
      <xdr:colOff>285750</xdr:colOff>
      <xdr:row>27</xdr:row>
      <xdr:rowOff>114299</xdr:rowOff>
    </xdr:to>
    <xdr:pic>
      <xdr:nvPicPr>
        <xdr:cNvPr id="8" name="Picture 8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 r="5738"/>
        <a:stretch>
          <a:fillRect/>
        </a:stretch>
      </xdr:blipFill>
      <xdr:spPr bwMode="auto">
        <a:xfrm>
          <a:off x="0" y="2552700"/>
          <a:ext cx="4391025" cy="3771899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45" Type="http://schemas.openxmlformats.org/officeDocument/2006/relationships/ctrlProp" Target="../ctrlProps/ctrlProp14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146" Type="http://schemas.openxmlformats.org/officeDocument/2006/relationships/ctrlProp" Target="../ctrlProps/ctrlProp143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omments" Target="../comments1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3:P90"/>
  <sheetViews>
    <sheetView topLeftCell="A4" zoomScaleNormal="100" workbookViewId="0">
      <selection activeCell="E10" sqref="E10"/>
    </sheetView>
  </sheetViews>
  <sheetFormatPr defaultColWidth="9.109375" defaultRowHeight="18" x14ac:dyDescent="0.3"/>
  <cols>
    <col min="1" max="1" width="4.109375" style="1" customWidth="1"/>
    <col min="2" max="2" width="7.6640625" style="1" customWidth="1"/>
    <col min="3" max="3" width="7" style="1" customWidth="1"/>
    <col min="4" max="4" width="20.6640625" style="1" customWidth="1"/>
    <col min="5" max="5" width="15.109375" style="1" customWidth="1"/>
    <col min="6" max="6" width="18.88671875" style="1" customWidth="1"/>
    <col min="7" max="7" width="14" style="1" bestFit="1" customWidth="1"/>
    <col min="8" max="8" width="15" style="1" customWidth="1"/>
    <col min="9" max="9" width="20.88671875" style="1" customWidth="1"/>
    <col min="10" max="16384" width="9.109375" style="1"/>
  </cols>
  <sheetData>
    <row r="3" spans="2:16" ht="18.75" customHeight="1" x14ac:dyDescent="0.3">
      <c r="B3" s="70" t="s">
        <v>111</v>
      </c>
      <c r="C3" s="70"/>
      <c r="D3" s="70"/>
      <c r="E3" s="70"/>
      <c r="F3" s="70"/>
      <c r="G3" s="70"/>
      <c r="H3" s="70"/>
      <c r="I3" s="70"/>
      <c r="M3" s="75" t="s">
        <v>110</v>
      </c>
      <c r="N3" s="75"/>
      <c r="O3" s="75"/>
      <c r="P3" s="75"/>
    </row>
    <row r="5" spans="2:16" x14ac:dyDescent="0.3">
      <c r="B5" s="70" t="s">
        <v>62</v>
      </c>
      <c r="C5" s="70"/>
      <c r="D5" s="70"/>
      <c r="E5" s="70"/>
      <c r="F5" s="70"/>
      <c r="G5" s="70"/>
      <c r="H5" s="70"/>
      <c r="I5" s="70"/>
    </row>
    <row r="6" spans="2:16" x14ac:dyDescent="0.3">
      <c r="B6" s="20">
        <v>0</v>
      </c>
    </row>
    <row r="7" spans="2:16" x14ac:dyDescent="0.3">
      <c r="B7" s="21"/>
    </row>
    <row r="8" spans="2:16" x14ac:dyDescent="0.3">
      <c r="B8" s="22">
        <v>1</v>
      </c>
      <c r="C8" s="71" t="s">
        <v>4</v>
      </c>
      <c r="D8" s="71"/>
      <c r="E8" s="71"/>
      <c r="F8" s="71"/>
    </row>
    <row r="9" spans="2:16" x14ac:dyDescent="0.3">
      <c r="B9" s="23"/>
      <c r="C9" s="3" t="s">
        <v>3</v>
      </c>
      <c r="D9" s="3" t="s">
        <v>0</v>
      </c>
      <c r="E9" s="3" t="s">
        <v>1</v>
      </c>
      <c r="F9" s="3" t="s">
        <v>2</v>
      </c>
      <c r="G9" s="3" t="s">
        <v>24</v>
      </c>
      <c r="H9" s="3" t="s">
        <v>25</v>
      </c>
      <c r="I9" s="3"/>
    </row>
    <row r="10" spans="2:16" x14ac:dyDescent="0.3">
      <c r="B10" s="23"/>
      <c r="C10" s="2">
        <v>1</v>
      </c>
      <c r="D10" s="4">
        <v>15</v>
      </c>
      <c r="E10" s="4">
        <v>3</v>
      </c>
      <c r="F10" s="4"/>
      <c r="G10" s="2"/>
      <c r="H10" s="2"/>
      <c r="I10" s="2"/>
    </row>
    <row r="11" spans="2:16" x14ac:dyDescent="0.3">
      <c r="B11" s="23"/>
      <c r="C11" s="2">
        <v>2</v>
      </c>
      <c r="D11" s="4">
        <v>0</v>
      </c>
      <c r="E11" s="4">
        <v>0</v>
      </c>
      <c r="F11" s="4"/>
      <c r="G11" s="2"/>
      <c r="H11" s="2"/>
      <c r="I11" s="2"/>
    </row>
    <row r="12" spans="2:16" x14ac:dyDescent="0.3">
      <c r="B12" s="23"/>
      <c r="C12" s="2">
        <v>3</v>
      </c>
      <c r="D12" s="4">
        <v>0</v>
      </c>
      <c r="E12" s="4">
        <v>0</v>
      </c>
      <c r="F12" s="4"/>
      <c r="G12" s="2"/>
      <c r="H12" s="2"/>
      <c r="I12" s="2"/>
    </row>
    <row r="13" spans="2:16" x14ac:dyDescent="0.3">
      <c r="B13" s="23"/>
      <c r="C13" s="2">
        <v>4</v>
      </c>
      <c r="D13" s="4">
        <v>0</v>
      </c>
      <c r="E13" s="4">
        <v>0</v>
      </c>
      <c r="F13" s="4"/>
      <c r="G13" s="2"/>
      <c r="H13" s="2"/>
      <c r="I13" s="2"/>
    </row>
    <row r="14" spans="2:16" x14ac:dyDescent="0.3">
      <c r="B14" s="23"/>
      <c r="C14" s="2">
        <v>5</v>
      </c>
      <c r="D14" s="4">
        <v>0</v>
      </c>
      <c r="E14" s="4">
        <v>0</v>
      </c>
      <c r="F14" s="4"/>
      <c r="G14" s="2"/>
      <c r="H14" s="2"/>
      <c r="I14" s="2"/>
    </row>
    <row r="15" spans="2:16" x14ac:dyDescent="0.3">
      <c r="B15" s="23"/>
      <c r="C15" s="2">
        <v>6</v>
      </c>
      <c r="D15" s="4">
        <v>0</v>
      </c>
      <c r="E15" s="4">
        <v>0</v>
      </c>
      <c r="F15" s="4"/>
      <c r="G15" s="2"/>
      <c r="H15" s="2"/>
      <c r="I15" s="2"/>
    </row>
    <row r="16" spans="2:16" x14ac:dyDescent="0.3">
      <c r="B16" s="23"/>
      <c r="C16" s="2">
        <v>7</v>
      </c>
      <c r="D16" s="4">
        <v>0</v>
      </c>
      <c r="E16" s="4">
        <v>0</v>
      </c>
      <c r="F16" s="4"/>
      <c r="G16" s="2"/>
      <c r="H16" s="2"/>
      <c r="I16" s="2"/>
    </row>
    <row r="17" spans="2:9" x14ac:dyDescent="0.3">
      <c r="B17" s="23"/>
      <c r="C17" s="2">
        <v>8</v>
      </c>
      <c r="D17" s="4">
        <v>0</v>
      </c>
      <c r="E17" s="4">
        <v>0</v>
      </c>
      <c r="F17" s="4"/>
      <c r="G17" s="2"/>
      <c r="H17" s="2"/>
      <c r="I17" s="2"/>
    </row>
    <row r="18" spans="2:9" x14ac:dyDescent="0.3">
      <c r="B18" s="23"/>
      <c r="C18" s="2">
        <v>9</v>
      </c>
      <c r="D18" s="4">
        <v>0</v>
      </c>
      <c r="E18" s="4">
        <v>0</v>
      </c>
      <c r="F18" s="4"/>
      <c r="G18" s="2"/>
      <c r="H18" s="2"/>
      <c r="I18" s="2"/>
    </row>
    <row r="19" spans="2:9" x14ac:dyDescent="0.3">
      <c r="B19" s="23"/>
      <c r="C19" s="2">
        <v>10</v>
      </c>
      <c r="D19" s="4">
        <v>0</v>
      </c>
      <c r="E19" s="4">
        <v>0</v>
      </c>
      <c r="F19" s="4"/>
      <c r="G19" s="2"/>
      <c r="H19" s="2"/>
      <c r="I19" s="2"/>
    </row>
    <row r="20" spans="2:9" ht="9" customHeight="1" x14ac:dyDescent="0.3">
      <c r="B20" s="23"/>
      <c r="C20" s="15"/>
      <c r="D20" s="72"/>
      <c r="E20" s="72"/>
      <c r="F20" s="72"/>
      <c r="G20" s="72"/>
      <c r="H20" s="72"/>
      <c r="I20" s="72"/>
    </row>
    <row r="21" spans="2:9" x14ac:dyDescent="0.3">
      <c r="B21" s="23"/>
      <c r="D21" s="73" t="s">
        <v>66</v>
      </c>
      <c r="E21" s="73"/>
      <c r="F21" s="73"/>
      <c r="G21" s="73"/>
      <c r="H21" s="73"/>
      <c r="I21" s="73"/>
    </row>
    <row r="22" spans="2:9" ht="36.75" customHeight="1" x14ac:dyDescent="0.3">
      <c r="B22" s="23"/>
      <c r="C22" s="69" t="s">
        <v>113</v>
      </c>
      <c r="D22" s="69"/>
      <c r="E22" s="69"/>
      <c r="F22" s="69"/>
      <c r="G22" s="69"/>
      <c r="H22" s="69"/>
      <c r="I22" s="69"/>
    </row>
    <row r="23" spans="2:9" x14ac:dyDescent="0.3">
      <c r="B23" s="23"/>
    </row>
    <row r="24" spans="2:9" x14ac:dyDescent="0.3">
      <c r="B24" s="22">
        <v>2</v>
      </c>
      <c r="C24" s="71" t="s">
        <v>27</v>
      </c>
      <c r="D24" s="71"/>
      <c r="E24" s="71"/>
      <c r="F24" s="71"/>
    </row>
    <row r="25" spans="2:9" ht="38.4" x14ac:dyDescent="0.3">
      <c r="B25" s="23"/>
      <c r="C25" s="3" t="s">
        <v>3</v>
      </c>
      <c r="D25" s="3" t="s">
        <v>28</v>
      </c>
      <c r="E25" s="3" t="s">
        <v>29</v>
      </c>
      <c r="F25" s="3" t="s">
        <v>30</v>
      </c>
      <c r="G25" s="3" t="s">
        <v>31</v>
      </c>
      <c r="H25" s="3" t="s">
        <v>2</v>
      </c>
      <c r="I25" s="3" t="s">
        <v>78</v>
      </c>
    </row>
    <row r="26" spans="2:9" x14ac:dyDescent="0.3">
      <c r="B26" s="23"/>
      <c r="C26" s="2">
        <v>1</v>
      </c>
      <c r="D26" s="4">
        <v>0</v>
      </c>
      <c r="E26" s="4">
        <v>0</v>
      </c>
      <c r="F26" s="4">
        <v>0</v>
      </c>
      <c r="G26" s="4">
        <v>0</v>
      </c>
      <c r="H26" s="4"/>
      <c r="I26" s="2"/>
    </row>
    <row r="27" spans="2:9" x14ac:dyDescent="0.3">
      <c r="B27" s="23"/>
      <c r="C27" s="2">
        <v>2</v>
      </c>
      <c r="D27" s="4">
        <v>0</v>
      </c>
      <c r="E27" s="4">
        <v>0</v>
      </c>
      <c r="F27" s="4">
        <v>0</v>
      </c>
      <c r="G27" s="4">
        <v>0</v>
      </c>
      <c r="H27" s="4"/>
      <c r="I27" s="2"/>
    </row>
    <row r="28" spans="2:9" x14ac:dyDescent="0.3">
      <c r="B28" s="23"/>
      <c r="C28" s="2">
        <v>3</v>
      </c>
      <c r="D28" s="4">
        <v>0</v>
      </c>
      <c r="E28" s="4">
        <v>0</v>
      </c>
      <c r="F28" s="4">
        <v>0</v>
      </c>
      <c r="G28" s="4">
        <v>0</v>
      </c>
      <c r="H28" s="4"/>
      <c r="I28" s="2"/>
    </row>
    <row r="29" spans="2:9" x14ac:dyDescent="0.3">
      <c r="B29" s="23"/>
      <c r="C29" s="2">
        <v>4</v>
      </c>
      <c r="D29" s="4">
        <v>0</v>
      </c>
      <c r="E29" s="4">
        <v>0</v>
      </c>
      <c r="F29" s="4">
        <v>0</v>
      </c>
      <c r="G29" s="4">
        <v>0</v>
      </c>
      <c r="H29" s="4"/>
      <c r="I29" s="2"/>
    </row>
    <row r="30" spans="2:9" x14ac:dyDescent="0.3">
      <c r="B30" s="23"/>
      <c r="C30" s="2">
        <v>5</v>
      </c>
      <c r="D30" s="4">
        <v>0</v>
      </c>
      <c r="E30" s="4">
        <v>0</v>
      </c>
      <c r="F30" s="4">
        <v>0</v>
      </c>
      <c r="G30" s="4">
        <v>0</v>
      </c>
      <c r="H30" s="4"/>
      <c r="I30" s="2"/>
    </row>
    <row r="31" spans="2:9" x14ac:dyDescent="0.3">
      <c r="B31" s="23"/>
      <c r="D31" s="74" t="s">
        <v>75</v>
      </c>
      <c r="E31" s="74"/>
      <c r="F31" s="74"/>
      <c r="G31" s="74"/>
      <c r="H31" s="74"/>
      <c r="I31" s="74"/>
    </row>
    <row r="32" spans="2:9" x14ac:dyDescent="0.3">
      <c r="B32" s="22">
        <v>3</v>
      </c>
      <c r="C32" s="71" t="s">
        <v>7</v>
      </c>
      <c r="D32" s="71"/>
      <c r="E32" s="71"/>
      <c r="F32" s="71"/>
    </row>
    <row r="33" spans="2:9" ht="36" x14ac:dyDescent="0.3">
      <c r="B33" s="23"/>
      <c r="C33" s="3" t="s">
        <v>3</v>
      </c>
      <c r="D33" s="3" t="s">
        <v>0</v>
      </c>
      <c r="E33" s="3" t="s">
        <v>1</v>
      </c>
      <c r="F33" s="3" t="s">
        <v>2</v>
      </c>
      <c r="G33" s="3" t="s">
        <v>21</v>
      </c>
      <c r="H33" s="3" t="s">
        <v>53</v>
      </c>
    </row>
    <row r="34" spans="2:9" x14ac:dyDescent="0.3">
      <c r="B34" s="23"/>
      <c r="C34" s="2">
        <v>1</v>
      </c>
      <c r="D34" s="4">
        <v>0</v>
      </c>
      <c r="E34" s="4">
        <v>0</v>
      </c>
      <c r="F34" s="4"/>
      <c r="G34" s="2"/>
      <c r="H34" s="2"/>
    </row>
    <row r="35" spans="2:9" x14ac:dyDescent="0.3">
      <c r="B35" s="23"/>
      <c r="C35" s="2">
        <v>2</v>
      </c>
      <c r="D35" s="4">
        <v>0</v>
      </c>
      <c r="E35" s="4">
        <v>0</v>
      </c>
      <c r="F35" s="4"/>
      <c r="G35" s="2"/>
      <c r="H35" s="2"/>
    </row>
    <row r="36" spans="2:9" x14ac:dyDescent="0.3">
      <c r="B36" s="23"/>
      <c r="C36" s="2">
        <v>3</v>
      </c>
      <c r="D36" s="4">
        <v>0</v>
      </c>
      <c r="E36" s="4">
        <v>0</v>
      </c>
      <c r="F36" s="4"/>
      <c r="G36" s="2"/>
      <c r="H36" s="2"/>
    </row>
    <row r="37" spans="2:9" x14ac:dyDescent="0.3">
      <c r="B37" s="23"/>
      <c r="C37" s="2">
        <v>4</v>
      </c>
      <c r="D37" s="4">
        <v>0</v>
      </c>
      <c r="E37" s="4">
        <v>0</v>
      </c>
      <c r="F37" s="4"/>
      <c r="G37" s="2"/>
      <c r="H37" s="2"/>
    </row>
    <row r="38" spans="2:9" x14ac:dyDescent="0.3">
      <c r="B38" s="23"/>
      <c r="C38" s="2">
        <v>5</v>
      </c>
      <c r="D38" s="4">
        <v>0</v>
      </c>
      <c r="E38" s="4">
        <v>0</v>
      </c>
      <c r="F38" s="4"/>
      <c r="G38" s="2"/>
      <c r="H38" s="2"/>
    </row>
    <row r="39" spans="2:9" x14ac:dyDescent="0.3">
      <c r="B39" s="23"/>
      <c r="C39" s="2">
        <v>6</v>
      </c>
      <c r="D39" s="4">
        <v>0</v>
      </c>
      <c r="E39" s="4">
        <v>0</v>
      </c>
      <c r="F39" s="4"/>
      <c r="G39" s="2"/>
      <c r="H39" s="2"/>
    </row>
    <row r="40" spans="2:9" x14ac:dyDescent="0.3">
      <c r="B40" s="23"/>
      <c r="C40" s="2">
        <v>7</v>
      </c>
      <c r="D40" s="4">
        <v>0</v>
      </c>
      <c r="E40" s="4">
        <v>0</v>
      </c>
      <c r="F40" s="4"/>
      <c r="G40" s="2"/>
      <c r="H40" s="2"/>
    </row>
    <row r="41" spans="2:9" x14ac:dyDescent="0.3">
      <c r="B41" s="23"/>
      <c r="C41" s="2">
        <v>8</v>
      </c>
      <c r="D41" s="4">
        <v>0</v>
      </c>
      <c r="E41" s="4">
        <v>0</v>
      </c>
      <c r="F41" s="4"/>
      <c r="G41" s="2"/>
      <c r="H41" s="2"/>
    </row>
    <row r="42" spans="2:9" x14ac:dyDescent="0.3">
      <c r="B42" s="23"/>
      <c r="C42" s="2">
        <v>9</v>
      </c>
      <c r="D42" s="4">
        <v>0</v>
      </c>
      <c r="E42" s="4">
        <v>0</v>
      </c>
      <c r="F42" s="4"/>
      <c r="G42" s="2"/>
      <c r="H42" s="2"/>
    </row>
    <row r="43" spans="2:9" x14ac:dyDescent="0.3">
      <c r="B43" s="23"/>
      <c r="C43" s="2">
        <v>10</v>
      </c>
      <c r="D43" s="4">
        <v>0</v>
      </c>
      <c r="E43" s="4">
        <v>0</v>
      </c>
      <c r="F43" s="4"/>
      <c r="G43" s="2"/>
      <c r="H43" s="2"/>
    </row>
    <row r="44" spans="2:9" ht="18.75" customHeight="1" x14ac:dyDescent="0.3">
      <c r="B44" s="23"/>
      <c r="C44" s="15"/>
      <c r="D44" s="74" t="s">
        <v>60</v>
      </c>
      <c r="E44" s="74"/>
      <c r="F44" s="74"/>
      <c r="G44" s="74"/>
      <c r="H44" s="74"/>
      <c r="I44" s="16"/>
    </row>
    <row r="45" spans="2:9" ht="16.5" customHeight="1" x14ac:dyDescent="0.3">
      <c r="B45" s="23"/>
      <c r="C45" s="73"/>
      <c r="D45" s="73"/>
      <c r="E45" s="73"/>
      <c r="F45" s="73"/>
      <c r="G45" s="73"/>
      <c r="H45" s="73"/>
    </row>
    <row r="46" spans="2:9" x14ac:dyDescent="0.3">
      <c r="B46" s="22">
        <v>4</v>
      </c>
      <c r="C46" s="71" t="s">
        <v>12</v>
      </c>
      <c r="D46" s="71"/>
      <c r="E46" s="71"/>
      <c r="F46" s="71"/>
    </row>
    <row r="47" spans="2:9" x14ac:dyDescent="0.3">
      <c r="B47" s="23"/>
      <c r="C47" s="3" t="s">
        <v>3</v>
      </c>
      <c r="D47" s="3" t="s">
        <v>0</v>
      </c>
      <c r="E47" s="3" t="s">
        <v>1</v>
      </c>
      <c r="F47" s="3" t="s">
        <v>2</v>
      </c>
      <c r="G47" s="3" t="s">
        <v>21</v>
      </c>
    </row>
    <row r="48" spans="2:9" x14ac:dyDescent="0.3">
      <c r="B48" s="23"/>
      <c r="C48" s="2">
        <v>1</v>
      </c>
      <c r="D48" s="4">
        <v>0</v>
      </c>
      <c r="E48" s="4">
        <v>0</v>
      </c>
      <c r="F48" s="4"/>
      <c r="G48" s="2"/>
    </row>
    <row r="49" spans="2:7" x14ac:dyDescent="0.3">
      <c r="B49" s="23"/>
      <c r="C49" s="2">
        <v>2</v>
      </c>
      <c r="D49" s="4">
        <v>0</v>
      </c>
      <c r="E49" s="4">
        <v>0</v>
      </c>
      <c r="F49" s="4"/>
      <c r="G49" s="2"/>
    </row>
    <row r="50" spans="2:7" x14ac:dyDescent="0.3">
      <c r="B50" s="23"/>
      <c r="C50" s="2">
        <v>3</v>
      </c>
      <c r="D50" s="4">
        <v>0</v>
      </c>
      <c r="E50" s="4">
        <v>0</v>
      </c>
      <c r="F50" s="4"/>
      <c r="G50" s="2"/>
    </row>
    <row r="51" spans="2:7" x14ac:dyDescent="0.3">
      <c r="B51" s="23"/>
      <c r="C51" s="2">
        <v>4</v>
      </c>
      <c r="D51" s="4">
        <v>0</v>
      </c>
      <c r="E51" s="4">
        <v>0</v>
      </c>
      <c r="F51" s="4"/>
      <c r="G51" s="2"/>
    </row>
    <row r="52" spans="2:7" x14ac:dyDescent="0.3">
      <c r="B52" s="23"/>
      <c r="C52" s="2">
        <v>5</v>
      </c>
      <c r="D52" s="4">
        <v>0</v>
      </c>
      <c r="E52" s="4">
        <v>0</v>
      </c>
      <c r="F52" s="4"/>
      <c r="G52" s="2"/>
    </row>
    <row r="53" spans="2:7" x14ac:dyDescent="0.3">
      <c r="B53" s="23"/>
    </row>
    <row r="54" spans="2:7" x14ac:dyDescent="0.3">
      <c r="B54" s="22">
        <v>5</v>
      </c>
      <c r="C54" s="71" t="s">
        <v>15</v>
      </c>
      <c r="D54" s="71"/>
      <c r="E54" s="71"/>
      <c r="F54" s="71"/>
    </row>
    <row r="55" spans="2:7" x14ac:dyDescent="0.3">
      <c r="B55" s="23"/>
      <c r="C55" s="3" t="s">
        <v>3</v>
      </c>
      <c r="D55" s="3" t="s">
        <v>0</v>
      </c>
      <c r="E55" s="3" t="s">
        <v>1</v>
      </c>
      <c r="F55" s="3" t="s">
        <v>2</v>
      </c>
      <c r="G55" s="3" t="s">
        <v>21</v>
      </c>
    </row>
    <row r="56" spans="2:7" x14ac:dyDescent="0.3">
      <c r="B56" s="23"/>
      <c r="C56" s="2">
        <v>1</v>
      </c>
      <c r="D56" s="4">
        <v>0</v>
      </c>
      <c r="E56" s="4">
        <v>0</v>
      </c>
      <c r="F56" s="4"/>
      <c r="G56" s="2"/>
    </row>
    <row r="57" spans="2:7" x14ac:dyDescent="0.3">
      <c r="B57" s="23"/>
      <c r="C57" s="2">
        <v>2</v>
      </c>
      <c r="D57" s="4">
        <v>0</v>
      </c>
      <c r="E57" s="4">
        <v>0</v>
      </c>
      <c r="F57" s="4"/>
      <c r="G57" s="2"/>
    </row>
    <row r="58" spans="2:7" x14ac:dyDescent="0.3">
      <c r="B58" s="23"/>
      <c r="C58" s="2">
        <v>3</v>
      </c>
      <c r="D58" s="4">
        <v>0</v>
      </c>
      <c r="E58" s="4">
        <v>0</v>
      </c>
      <c r="F58" s="4"/>
      <c r="G58" s="2"/>
    </row>
    <row r="59" spans="2:7" x14ac:dyDescent="0.3">
      <c r="B59" s="23"/>
      <c r="C59" s="2">
        <v>4</v>
      </c>
      <c r="D59" s="4">
        <v>0</v>
      </c>
      <c r="E59" s="4">
        <v>0</v>
      </c>
      <c r="F59" s="4"/>
      <c r="G59" s="2"/>
    </row>
    <row r="60" spans="2:7" x14ac:dyDescent="0.3">
      <c r="B60" s="23"/>
      <c r="C60" s="2">
        <v>5</v>
      </c>
      <c r="D60" s="4">
        <v>0</v>
      </c>
      <c r="E60" s="4">
        <v>0</v>
      </c>
      <c r="F60" s="4"/>
      <c r="G60" s="2"/>
    </row>
    <row r="61" spans="2:7" x14ac:dyDescent="0.3">
      <c r="B61" s="23"/>
    </row>
    <row r="62" spans="2:7" ht="18.75" customHeight="1" x14ac:dyDescent="0.3">
      <c r="B62" s="22">
        <v>6</v>
      </c>
      <c r="C62" s="71" t="s">
        <v>18</v>
      </c>
      <c r="D62" s="71"/>
      <c r="E62" s="71"/>
      <c r="F62" s="8"/>
    </row>
    <row r="63" spans="2:7" x14ac:dyDescent="0.3">
      <c r="B63" s="23"/>
      <c r="C63" s="3" t="s">
        <v>3</v>
      </c>
      <c r="D63" s="3" t="s">
        <v>1</v>
      </c>
      <c r="E63" s="3" t="s">
        <v>2</v>
      </c>
      <c r="F63" s="3" t="s">
        <v>21</v>
      </c>
    </row>
    <row r="64" spans="2:7" x14ac:dyDescent="0.3">
      <c r="B64" s="23"/>
      <c r="C64" s="2">
        <v>1</v>
      </c>
      <c r="D64" s="4">
        <v>0</v>
      </c>
      <c r="E64" s="4"/>
      <c r="F64" s="2"/>
    </row>
    <row r="65" spans="2:6" x14ac:dyDescent="0.3">
      <c r="B65" s="23"/>
      <c r="C65" s="2">
        <v>2</v>
      </c>
      <c r="D65" s="4">
        <v>0</v>
      </c>
      <c r="E65" s="4"/>
      <c r="F65" s="2"/>
    </row>
    <row r="66" spans="2:6" x14ac:dyDescent="0.3">
      <c r="B66" s="23"/>
      <c r="C66" s="2">
        <v>3</v>
      </c>
      <c r="D66" s="4">
        <v>0</v>
      </c>
      <c r="E66" s="4"/>
      <c r="F66" s="2"/>
    </row>
    <row r="67" spans="2:6" x14ac:dyDescent="0.3">
      <c r="B67" s="23"/>
      <c r="C67" s="2">
        <v>4</v>
      </c>
      <c r="D67" s="4">
        <v>0</v>
      </c>
      <c r="E67" s="4"/>
      <c r="F67" s="2"/>
    </row>
    <row r="68" spans="2:6" x14ac:dyDescent="0.3">
      <c r="B68" s="23"/>
      <c r="C68" s="2">
        <v>5</v>
      </c>
      <c r="D68" s="4">
        <v>0</v>
      </c>
      <c r="E68" s="4"/>
      <c r="F68" s="2"/>
    </row>
    <row r="69" spans="2:6" x14ac:dyDescent="0.3">
      <c r="B69" s="23"/>
    </row>
    <row r="70" spans="2:6" x14ac:dyDescent="0.3">
      <c r="B70" s="22">
        <v>7</v>
      </c>
      <c r="C70" s="71" t="s">
        <v>20</v>
      </c>
      <c r="D70" s="71"/>
      <c r="E70" s="71"/>
    </row>
    <row r="71" spans="2:6" x14ac:dyDescent="0.3">
      <c r="B71" s="21"/>
      <c r="C71" s="3" t="s">
        <v>3</v>
      </c>
      <c r="D71" s="3" t="s">
        <v>1</v>
      </c>
      <c r="E71" s="3" t="s">
        <v>2</v>
      </c>
      <c r="F71" s="3" t="s">
        <v>21</v>
      </c>
    </row>
    <row r="72" spans="2:6" x14ac:dyDescent="0.3">
      <c r="B72" s="23"/>
      <c r="C72" s="2">
        <v>1</v>
      </c>
      <c r="D72" s="4">
        <v>0</v>
      </c>
      <c r="E72" s="4"/>
      <c r="F72" s="2"/>
    </row>
    <row r="73" spans="2:6" x14ac:dyDescent="0.3">
      <c r="B73" s="23"/>
      <c r="C73" s="2">
        <v>2</v>
      </c>
      <c r="D73" s="4">
        <v>0</v>
      </c>
      <c r="E73" s="4"/>
      <c r="F73" s="2"/>
    </row>
    <row r="74" spans="2:6" x14ac:dyDescent="0.3">
      <c r="B74" s="23"/>
      <c r="C74" s="2">
        <v>3</v>
      </c>
      <c r="D74" s="4">
        <v>0</v>
      </c>
      <c r="E74" s="4"/>
      <c r="F74" s="2"/>
    </row>
    <row r="75" spans="2:6" x14ac:dyDescent="0.3">
      <c r="B75" s="23"/>
      <c r="C75" s="2">
        <v>4</v>
      </c>
      <c r="D75" s="4">
        <v>0</v>
      </c>
      <c r="E75" s="4"/>
      <c r="F75" s="2"/>
    </row>
    <row r="76" spans="2:6" x14ac:dyDescent="0.3">
      <c r="B76" s="23"/>
      <c r="C76" s="2">
        <v>5</v>
      </c>
      <c r="D76" s="4">
        <v>0</v>
      </c>
      <c r="E76" s="4"/>
      <c r="F76" s="2"/>
    </row>
    <row r="77" spans="2:6" x14ac:dyDescent="0.3">
      <c r="B77" s="23"/>
    </row>
    <row r="78" spans="2:6" ht="39.75" customHeight="1" x14ac:dyDescent="0.3">
      <c r="B78" s="22">
        <v>8</v>
      </c>
      <c r="C78" s="71" t="s">
        <v>87</v>
      </c>
      <c r="D78" s="71"/>
      <c r="E78" s="71"/>
      <c r="F78" s="71"/>
    </row>
    <row r="79" spans="2:6" ht="36" x14ac:dyDescent="0.3">
      <c r="C79" s="3" t="s">
        <v>3</v>
      </c>
      <c r="D79" s="3" t="s">
        <v>86</v>
      </c>
      <c r="E79" s="3" t="s">
        <v>2</v>
      </c>
      <c r="F79" s="3" t="s">
        <v>78</v>
      </c>
    </row>
    <row r="80" spans="2:6" x14ac:dyDescent="0.3">
      <c r="C80" s="2">
        <v>1</v>
      </c>
      <c r="D80" s="4">
        <v>0</v>
      </c>
      <c r="E80" s="4"/>
      <c r="F80" s="2"/>
    </row>
    <row r="81" spans="3:16" x14ac:dyDescent="0.3">
      <c r="C81" s="2">
        <v>2</v>
      </c>
      <c r="D81" s="4">
        <v>0</v>
      </c>
      <c r="E81" s="4"/>
      <c r="F81" s="2"/>
    </row>
    <row r="82" spans="3:16" x14ac:dyDescent="0.3">
      <c r="C82" s="2">
        <v>3</v>
      </c>
      <c r="D82" s="4">
        <v>0</v>
      </c>
      <c r="E82" s="4"/>
      <c r="F82" s="2"/>
    </row>
    <row r="83" spans="3:16" x14ac:dyDescent="0.3">
      <c r="C83" s="2">
        <v>4</v>
      </c>
      <c r="D83" s="4">
        <v>0</v>
      </c>
      <c r="E83" s="4"/>
      <c r="F83" s="2"/>
    </row>
    <row r="84" spans="3:16" x14ac:dyDescent="0.3">
      <c r="C84" s="2">
        <v>5</v>
      </c>
      <c r="D84" s="4">
        <v>0</v>
      </c>
      <c r="E84" s="4"/>
      <c r="F84" s="2"/>
    </row>
    <row r="87" spans="3:16" ht="18.75" customHeight="1" x14ac:dyDescent="0.3">
      <c r="C87" s="24"/>
      <c r="D87" s="1" t="s">
        <v>63</v>
      </c>
      <c r="E87" s="70" t="s">
        <v>64</v>
      </c>
      <c r="F87" s="70"/>
      <c r="G87" s="70"/>
      <c r="H87" s="70"/>
      <c r="I87" s="8"/>
      <c r="J87" s="8"/>
      <c r="K87" s="8"/>
      <c r="L87" s="8"/>
      <c r="M87" s="8"/>
      <c r="N87" s="8"/>
      <c r="O87" s="8"/>
      <c r="P87" s="8"/>
    </row>
    <row r="90" spans="3:16" ht="21" x14ac:dyDescent="0.3">
      <c r="G90" s="68" t="s">
        <v>67</v>
      </c>
      <c r="H90" s="68"/>
      <c r="I90" s="68"/>
    </row>
  </sheetData>
  <mergeCells count="19">
    <mergeCell ref="C45:H45"/>
    <mergeCell ref="M3:P3"/>
    <mergeCell ref="C78:F78"/>
    <mergeCell ref="G90:I90"/>
    <mergeCell ref="C22:I22"/>
    <mergeCell ref="B3:I3"/>
    <mergeCell ref="B5:I5"/>
    <mergeCell ref="E87:H87"/>
    <mergeCell ref="C70:E70"/>
    <mergeCell ref="C24:F24"/>
    <mergeCell ref="C8:F8"/>
    <mergeCell ref="C32:F32"/>
    <mergeCell ref="C46:F46"/>
    <mergeCell ref="C54:F54"/>
    <mergeCell ref="C62:E62"/>
    <mergeCell ref="D20:I20"/>
    <mergeCell ref="D21:I21"/>
    <mergeCell ref="D44:H44"/>
    <mergeCell ref="D31:I31"/>
  </mergeCells>
  <hyperlinks>
    <hyperlink ref="G90:I90" location="Результат!A1" display="Результат" xr:uid="{00000000-0004-0000-0000-000000000000}"/>
    <hyperlink ref="M3:O3" location="'Как включить макрос'!A1" display="Инструкция как включить макрос" xr:uid="{00000000-0004-0000-0000-000001000000}"/>
  </hyperlinks>
  <pageMargins left="0.7" right="0.7" top="0.75" bottom="0.75" header="0.3" footer="0.3"/>
  <pageSetup paperSize="9" orientation="portrait" horizontalDpi="180" verticalDpi="18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Drop Down 1">
              <controlPr defaultSize="0" autoLine="0" autoPict="0">
                <anchor moveWithCells="1">
                  <from>
                    <xdr:col>5</xdr:col>
                    <xdr:colOff>22860</xdr:colOff>
                    <xdr:row>9</xdr:row>
                    <xdr:rowOff>22860</xdr:rowOff>
                  </from>
                  <to>
                    <xdr:col>5</xdr:col>
                    <xdr:colOff>982980</xdr:colOff>
                    <xdr:row>9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Drop Down 2">
              <controlPr defaultSize="0" autoLine="0" autoPict="0">
                <anchor moveWithCells="1">
                  <from>
                    <xdr:col>5</xdr:col>
                    <xdr:colOff>22860</xdr:colOff>
                    <xdr:row>10</xdr:row>
                    <xdr:rowOff>22860</xdr:rowOff>
                  </from>
                  <to>
                    <xdr:col>5</xdr:col>
                    <xdr:colOff>982980</xdr:colOff>
                    <xdr:row>10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Drop Down 3">
              <controlPr defaultSize="0" autoLine="0" autoPict="0">
                <anchor moveWithCells="1">
                  <from>
                    <xdr:col>5</xdr:col>
                    <xdr:colOff>22860</xdr:colOff>
                    <xdr:row>11</xdr:row>
                    <xdr:rowOff>22860</xdr:rowOff>
                  </from>
                  <to>
                    <xdr:col>5</xdr:col>
                    <xdr:colOff>982980</xdr:colOff>
                    <xdr:row>11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Drop Down 4">
              <controlPr defaultSize="0" autoLine="0" autoPict="0">
                <anchor moveWithCells="1">
                  <from>
                    <xdr:col>5</xdr:col>
                    <xdr:colOff>22860</xdr:colOff>
                    <xdr:row>12</xdr:row>
                    <xdr:rowOff>22860</xdr:rowOff>
                  </from>
                  <to>
                    <xdr:col>5</xdr:col>
                    <xdr:colOff>982980</xdr:colOff>
                    <xdr:row>12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Drop Down 5">
              <controlPr defaultSize="0" autoLine="0" autoPict="0">
                <anchor moveWithCells="1">
                  <from>
                    <xdr:col>5</xdr:col>
                    <xdr:colOff>22860</xdr:colOff>
                    <xdr:row>13</xdr:row>
                    <xdr:rowOff>22860</xdr:rowOff>
                  </from>
                  <to>
                    <xdr:col>5</xdr:col>
                    <xdr:colOff>982980</xdr:colOff>
                    <xdr:row>13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Drop Down 6">
              <controlPr defaultSize="0" autoLine="0" autoPict="0">
                <anchor moveWithCells="1">
                  <from>
                    <xdr:col>5</xdr:col>
                    <xdr:colOff>22860</xdr:colOff>
                    <xdr:row>14</xdr:row>
                    <xdr:rowOff>22860</xdr:rowOff>
                  </from>
                  <to>
                    <xdr:col>5</xdr:col>
                    <xdr:colOff>982980</xdr:colOff>
                    <xdr:row>14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Drop Down 7">
              <controlPr defaultSize="0" autoLine="0" autoPict="0">
                <anchor moveWithCells="1">
                  <from>
                    <xdr:col>5</xdr:col>
                    <xdr:colOff>22860</xdr:colOff>
                    <xdr:row>15</xdr:row>
                    <xdr:rowOff>22860</xdr:rowOff>
                  </from>
                  <to>
                    <xdr:col>5</xdr:col>
                    <xdr:colOff>982980</xdr:colOff>
                    <xdr:row>15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Drop Down 8">
              <controlPr defaultSize="0" autoLine="0" autoPict="0">
                <anchor moveWithCells="1">
                  <from>
                    <xdr:col>5</xdr:col>
                    <xdr:colOff>22860</xdr:colOff>
                    <xdr:row>16</xdr:row>
                    <xdr:rowOff>22860</xdr:rowOff>
                  </from>
                  <to>
                    <xdr:col>5</xdr:col>
                    <xdr:colOff>982980</xdr:colOff>
                    <xdr:row>16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Drop Down 9">
              <controlPr defaultSize="0" autoLine="0" autoPict="0">
                <anchor moveWithCells="1">
                  <from>
                    <xdr:col>5</xdr:col>
                    <xdr:colOff>22860</xdr:colOff>
                    <xdr:row>17</xdr:row>
                    <xdr:rowOff>22860</xdr:rowOff>
                  </from>
                  <to>
                    <xdr:col>5</xdr:col>
                    <xdr:colOff>982980</xdr:colOff>
                    <xdr:row>17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Drop Down 10">
              <controlPr defaultSize="0" autoLine="0" autoPict="0">
                <anchor moveWithCells="1">
                  <from>
                    <xdr:col>5</xdr:col>
                    <xdr:colOff>22860</xdr:colOff>
                    <xdr:row>18</xdr:row>
                    <xdr:rowOff>22860</xdr:rowOff>
                  </from>
                  <to>
                    <xdr:col>5</xdr:col>
                    <xdr:colOff>982980</xdr:colOff>
                    <xdr:row>18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Drop Down 11">
              <controlPr defaultSize="0" autoLine="0" autoPict="0">
                <anchor moveWithCells="1">
                  <from>
                    <xdr:col>5</xdr:col>
                    <xdr:colOff>22860</xdr:colOff>
                    <xdr:row>33</xdr:row>
                    <xdr:rowOff>22860</xdr:rowOff>
                  </from>
                  <to>
                    <xdr:col>5</xdr:col>
                    <xdr:colOff>982980</xdr:colOff>
                    <xdr:row>33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Drop Down 12">
              <controlPr defaultSize="0" autoLine="0" autoPict="0">
                <anchor moveWithCells="1">
                  <from>
                    <xdr:col>5</xdr:col>
                    <xdr:colOff>22860</xdr:colOff>
                    <xdr:row>34</xdr:row>
                    <xdr:rowOff>22860</xdr:rowOff>
                  </from>
                  <to>
                    <xdr:col>5</xdr:col>
                    <xdr:colOff>982980</xdr:colOff>
                    <xdr:row>34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Drop Down 13">
              <controlPr defaultSize="0" autoLine="0" autoPict="0">
                <anchor moveWithCells="1">
                  <from>
                    <xdr:col>5</xdr:col>
                    <xdr:colOff>22860</xdr:colOff>
                    <xdr:row>35</xdr:row>
                    <xdr:rowOff>22860</xdr:rowOff>
                  </from>
                  <to>
                    <xdr:col>5</xdr:col>
                    <xdr:colOff>982980</xdr:colOff>
                    <xdr:row>35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Drop Down 14">
              <controlPr defaultSize="0" autoLine="0" autoPict="0">
                <anchor moveWithCells="1">
                  <from>
                    <xdr:col>5</xdr:col>
                    <xdr:colOff>22860</xdr:colOff>
                    <xdr:row>36</xdr:row>
                    <xdr:rowOff>22860</xdr:rowOff>
                  </from>
                  <to>
                    <xdr:col>5</xdr:col>
                    <xdr:colOff>982980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8" name="Drop Down 15">
              <controlPr defaultSize="0" autoLine="0" autoPict="0">
                <anchor moveWithCells="1">
                  <from>
                    <xdr:col>5</xdr:col>
                    <xdr:colOff>22860</xdr:colOff>
                    <xdr:row>37</xdr:row>
                    <xdr:rowOff>22860</xdr:rowOff>
                  </from>
                  <to>
                    <xdr:col>5</xdr:col>
                    <xdr:colOff>982980</xdr:colOff>
                    <xdr:row>37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9" name="Drop Down 16">
              <controlPr defaultSize="0" autoLine="0" autoPict="0">
                <anchor moveWithCells="1">
                  <from>
                    <xdr:col>5</xdr:col>
                    <xdr:colOff>22860</xdr:colOff>
                    <xdr:row>38</xdr:row>
                    <xdr:rowOff>22860</xdr:rowOff>
                  </from>
                  <to>
                    <xdr:col>5</xdr:col>
                    <xdr:colOff>982980</xdr:colOff>
                    <xdr:row>38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0" name="Drop Down 17">
              <controlPr defaultSize="0" autoLine="0" autoPict="0">
                <anchor moveWithCells="1">
                  <from>
                    <xdr:col>5</xdr:col>
                    <xdr:colOff>22860</xdr:colOff>
                    <xdr:row>39</xdr:row>
                    <xdr:rowOff>22860</xdr:rowOff>
                  </from>
                  <to>
                    <xdr:col>5</xdr:col>
                    <xdr:colOff>982980</xdr:colOff>
                    <xdr:row>39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1" name="Drop Down 18">
              <controlPr defaultSize="0" autoLine="0" autoPict="0">
                <anchor moveWithCells="1">
                  <from>
                    <xdr:col>5</xdr:col>
                    <xdr:colOff>22860</xdr:colOff>
                    <xdr:row>40</xdr:row>
                    <xdr:rowOff>22860</xdr:rowOff>
                  </from>
                  <to>
                    <xdr:col>5</xdr:col>
                    <xdr:colOff>982980</xdr:colOff>
                    <xdr:row>40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2" name="Drop Down 19">
              <controlPr defaultSize="0" autoLine="0" autoPict="0">
                <anchor moveWithCells="1">
                  <from>
                    <xdr:col>5</xdr:col>
                    <xdr:colOff>22860</xdr:colOff>
                    <xdr:row>41</xdr:row>
                    <xdr:rowOff>22860</xdr:rowOff>
                  </from>
                  <to>
                    <xdr:col>5</xdr:col>
                    <xdr:colOff>982980</xdr:colOff>
                    <xdr:row>41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3" name="Drop Down 20">
              <controlPr defaultSize="0" autoLine="0" autoPict="0">
                <anchor moveWithCells="1">
                  <from>
                    <xdr:col>5</xdr:col>
                    <xdr:colOff>22860</xdr:colOff>
                    <xdr:row>42</xdr:row>
                    <xdr:rowOff>22860</xdr:rowOff>
                  </from>
                  <to>
                    <xdr:col>5</xdr:col>
                    <xdr:colOff>982980</xdr:colOff>
                    <xdr:row>42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4" name="Drop Down 21">
              <controlPr defaultSize="0" autoLine="0" autoPict="0">
                <anchor moveWithCells="1">
                  <from>
                    <xdr:col>5</xdr:col>
                    <xdr:colOff>22860</xdr:colOff>
                    <xdr:row>47</xdr:row>
                    <xdr:rowOff>22860</xdr:rowOff>
                  </from>
                  <to>
                    <xdr:col>5</xdr:col>
                    <xdr:colOff>982980</xdr:colOff>
                    <xdr:row>47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5" name="Drop Down 22">
              <controlPr defaultSize="0" autoLine="0" autoPict="0">
                <anchor moveWithCells="1">
                  <from>
                    <xdr:col>5</xdr:col>
                    <xdr:colOff>22860</xdr:colOff>
                    <xdr:row>48</xdr:row>
                    <xdr:rowOff>22860</xdr:rowOff>
                  </from>
                  <to>
                    <xdr:col>5</xdr:col>
                    <xdr:colOff>982980</xdr:colOff>
                    <xdr:row>48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6" name="Drop Down 23">
              <controlPr defaultSize="0" autoLine="0" autoPict="0">
                <anchor moveWithCells="1">
                  <from>
                    <xdr:col>5</xdr:col>
                    <xdr:colOff>22860</xdr:colOff>
                    <xdr:row>49</xdr:row>
                    <xdr:rowOff>22860</xdr:rowOff>
                  </from>
                  <to>
                    <xdr:col>5</xdr:col>
                    <xdr:colOff>982980</xdr:colOff>
                    <xdr:row>49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7" name="Drop Down 24">
              <controlPr defaultSize="0" autoLine="0" autoPict="0">
                <anchor moveWithCells="1">
                  <from>
                    <xdr:col>5</xdr:col>
                    <xdr:colOff>22860</xdr:colOff>
                    <xdr:row>50</xdr:row>
                    <xdr:rowOff>22860</xdr:rowOff>
                  </from>
                  <to>
                    <xdr:col>5</xdr:col>
                    <xdr:colOff>982980</xdr:colOff>
                    <xdr:row>50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8" name="Drop Down 25">
              <controlPr defaultSize="0" autoLine="0" autoPict="0">
                <anchor moveWithCells="1">
                  <from>
                    <xdr:col>5</xdr:col>
                    <xdr:colOff>22860</xdr:colOff>
                    <xdr:row>51</xdr:row>
                    <xdr:rowOff>22860</xdr:rowOff>
                  </from>
                  <to>
                    <xdr:col>5</xdr:col>
                    <xdr:colOff>982980</xdr:colOff>
                    <xdr:row>51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9" name="Drop Down 26">
              <controlPr defaultSize="0" autoLine="0" autoPict="0">
                <anchor moveWithCells="1">
                  <from>
                    <xdr:col>5</xdr:col>
                    <xdr:colOff>22860</xdr:colOff>
                    <xdr:row>55</xdr:row>
                    <xdr:rowOff>22860</xdr:rowOff>
                  </from>
                  <to>
                    <xdr:col>5</xdr:col>
                    <xdr:colOff>982980</xdr:colOff>
                    <xdr:row>55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30" name="Drop Down 27">
              <controlPr defaultSize="0" autoLine="0" autoPict="0">
                <anchor moveWithCells="1">
                  <from>
                    <xdr:col>5</xdr:col>
                    <xdr:colOff>22860</xdr:colOff>
                    <xdr:row>56</xdr:row>
                    <xdr:rowOff>22860</xdr:rowOff>
                  </from>
                  <to>
                    <xdr:col>5</xdr:col>
                    <xdr:colOff>982980</xdr:colOff>
                    <xdr:row>56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31" name="Drop Down 28">
              <controlPr defaultSize="0" autoLine="0" autoPict="0">
                <anchor moveWithCells="1">
                  <from>
                    <xdr:col>5</xdr:col>
                    <xdr:colOff>22860</xdr:colOff>
                    <xdr:row>57</xdr:row>
                    <xdr:rowOff>22860</xdr:rowOff>
                  </from>
                  <to>
                    <xdr:col>5</xdr:col>
                    <xdr:colOff>982980</xdr:colOff>
                    <xdr:row>57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32" name="Drop Down 29">
              <controlPr defaultSize="0" autoLine="0" autoPict="0">
                <anchor moveWithCells="1">
                  <from>
                    <xdr:col>5</xdr:col>
                    <xdr:colOff>22860</xdr:colOff>
                    <xdr:row>58</xdr:row>
                    <xdr:rowOff>22860</xdr:rowOff>
                  </from>
                  <to>
                    <xdr:col>5</xdr:col>
                    <xdr:colOff>982980</xdr:colOff>
                    <xdr:row>58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33" name="Drop Down 30">
              <controlPr defaultSize="0" autoLine="0" autoPict="0">
                <anchor moveWithCells="1">
                  <from>
                    <xdr:col>5</xdr:col>
                    <xdr:colOff>22860</xdr:colOff>
                    <xdr:row>59</xdr:row>
                    <xdr:rowOff>22860</xdr:rowOff>
                  </from>
                  <to>
                    <xdr:col>5</xdr:col>
                    <xdr:colOff>982980</xdr:colOff>
                    <xdr:row>59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34" name="Drop Down 31">
              <controlPr defaultSize="0" autoLine="0" autoPict="0">
                <anchor moveWithCells="1">
                  <from>
                    <xdr:col>4</xdr:col>
                    <xdr:colOff>22860</xdr:colOff>
                    <xdr:row>63</xdr:row>
                    <xdr:rowOff>22860</xdr:rowOff>
                  </from>
                  <to>
                    <xdr:col>4</xdr:col>
                    <xdr:colOff>982980</xdr:colOff>
                    <xdr:row>63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35" name="Drop Down 32">
              <controlPr defaultSize="0" autoLine="0" autoPict="0">
                <anchor moveWithCells="1">
                  <from>
                    <xdr:col>4</xdr:col>
                    <xdr:colOff>22860</xdr:colOff>
                    <xdr:row>64</xdr:row>
                    <xdr:rowOff>22860</xdr:rowOff>
                  </from>
                  <to>
                    <xdr:col>4</xdr:col>
                    <xdr:colOff>982980</xdr:colOff>
                    <xdr:row>64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36" name="Drop Down 33">
              <controlPr defaultSize="0" autoLine="0" autoPict="0">
                <anchor moveWithCells="1">
                  <from>
                    <xdr:col>4</xdr:col>
                    <xdr:colOff>22860</xdr:colOff>
                    <xdr:row>65</xdr:row>
                    <xdr:rowOff>22860</xdr:rowOff>
                  </from>
                  <to>
                    <xdr:col>4</xdr:col>
                    <xdr:colOff>982980</xdr:colOff>
                    <xdr:row>65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37" name="Drop Down 34">
              <controlPr defaultSize="0" autoLine="0" autoPict="0">
                <anchor moveWithCells="1">
                  <from>
                    <xdr:col>4</xdr:col>
                    <xdr:colOff>22860</xdr:colOff>
                    <xdr:row>66</xdr:row>
                    <xdr:rowOff>22860</xdr:rowOff>
                  </from>
                  <to>
                    <xdr:col>4</xdr:col>
                    <xdr:colOff>982980</xdr:colOff>
                    <xdr:row>66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38" name="Drop Down 35">
              <controlPr defaultSize="0" autoLine="0" autoPict="0">
                <anchor moveWithCells="1">
                  <from>
                    <xdr:col>4</xdr:col>
                    <xdr:colOff>22860</xdr:colOff>
                    <xdr:row>67</xdr:row>
                    <xdr:rowOff>22860</xdr:rowOff>
                  </from>
                  <to>
                    <xdr:col>4</xdr:col>
                    <xdr:colOff>982980</xdr:colOff>
                    <xdr:row>67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39" name="Drop Down 36">
              <controlPr defaultSize="0" autoLine="0" autoPict="0">
                <anchor moveWithCells="1">
                  <from>
                    <xdr:col>4</xdr:col>
                    <xdr:colOff>22860</xdr:colOff>
                    <xdr:row>71</xdr:row>
                    <xdr:rowOff>22860</xdr:rowOff>
                  </from>
                  <to>
                    <xdr:col>4</xdr:col>
                    <xdr:colOff>982980</xdr:colOff>
                    <xdr:row>71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40" name="Drop Down 37">
              <controlPr defaultSize="0" autoLine="0" autoPict="0">
                <anchor moveWithCells="1">
                  <from>
                    <xdr:col>4</xdr:col>
                    <xdr:colOff>22860</xdr:colOff>
                    <xdr:row>72</xdr:row>
                    <xdr:rowOff>22860</xdr:rowOff>
                  </from>
                  <to>
                    <xdr:col>4</xdr:col>
                    <xdr:colOff>982980</xdr:colOff>
                    <xdr:row>72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41" name="Drop Down 38">
              <controlPr defaultSize="0" autoLine="0" autoPict="0">
                <anchor moveWithCells="1">
                  <from>
                    <xdr:col>4</xdr:col>
                    <xdr:colOff>22860</xdr:colOff>
                    <xdr:row>73</xdr:row>
                    <xdr:rowOff>22860</xdr:rowOff>
                  </from>
                  <to>
                    <xdr:col>4</xdr:col>
                    <xdr:colOff>982980</xdr:colOff>
                    <xdr:row>73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42" name="Drop Down 39">
              <controlPr defaultSize="0" autoLine="0" autoPict="0">
                <anchor moveWithCells="1">
                  <from>
                    <xdr:col>4</xdr:col>
                    <xdr:colOff>22860</xdr:colOff>
                    <xdr:row>74</xdr:row>
                    <xdr:rowOff>22860</xdr:rowOff>
                  </from>
                  <to>
                    <xdr:col>4</xdr:col>
                    <xdr:colOff>982980</xdr:colOff>
                    <xdr:row>74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43" name="Drop Down 40">
              <controlPr defaultSize="0" autoLine="0" autoPict="0">
                <anchor moveWithCells="1">
                  <from>
                    <xdr:col>4</xdr:col>
                    <xdr:colOff>22860</xdr:colOff>
                    <xdr:row>75</xdr:row>
                    <xdr:rowOff>22860</xdr:rowOff>
                  </from>
                  <to>
                    <xdr:col>4</xdr:col>
                    <xdr:colOff>982980</xdr:colOff>
                    <xdr:row>75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44" name="Check Box 41">
              <controlPr defaultSize="0" autoFill="0" autoLine="0" autoPict="0" altText="">
                <anchor moveWithCells="1">
                  <from>
                    <xdr:col>6</xdr:col>
                    <xdr:colOff>152400</xdr:colOff>
                    <xdr:row>33</xdr:row>
                    <xdr:rowOff>7620</xdr:rowOff>
                  </from>
                  <to>
                    <xdr:col>6</xdr:col>
                    <xdr:colOff>601980</xdr:colOff>
                    <xdr:row>33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45" name="Check Box 42">
              <controlPr defaultSize="0" autoFill="0" autoLine="0" autoPict="0" altText="">
                <anchor moveWithCells="1">
                  <from>
                    <xdr:col>6</xdr:col>
                    <xdr:colOff>152400</xdr:colOff>
                    <xdr:row>34</xdr:row>
                    <xdr:rowOff>7620</xdr:rowOff>
                  </from>
                  <to>
                    <xdr:col>6</xdr:col>
                    <xdr:colOff>601980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46" name="Check Box 43">
              <controlPr defaultSize="0" autoFill="0" autoLine="0" autoPict="0" altText="">
                <anchor moveWithCells="1">
                  <from>
                    <xdr:col>6</xdr:col>
                    <xdr:colOff>152400</xdr:colOff>
                    <xdr:row>35</xdr:row>
                    <xdr:rowOff>7620</xdr:rowOff>
                  </from>
                  <to>
                    <xdr:col>6</xdr:col>
                    <xdr:colOff>601980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47" name="Check Box 44">
              <controlPr defaultSize="0" autoFill="0" autoLine="0" autoPict="0" altText="">
                <anchor moveWithCells="1">
                  <from>
                    <xdr:col>6</xdr:col>
                    <xdr:colOff>152400</xdr:colOff>
                    <xdr:row>36</xdr:row>
                    <xdr:rowOff>7620</xdr:rowOff>
                  </from>
                  <to>
                    <xdr:col>6</xdr:col>
                    <xdr:colOff>601980</xdr:colOff>
                    <xdr:row>36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48" name="Check Box 45">
              <controlPr defaultSize="0" autoFill="0" autoLine="0" autoPict="0" altText="">
                <anchor moveWithCells="1">
                  <from>
                    <xdr:col>6</xdr:col>
                    <xdr:colOff>152400</xdr:colOff>
                    <xdr:row>37</xdr:row>
                    <xdr:rowOff>7620</xdr:rowOff>
                  </from>
                  <to>
                    <xdr:col>6</xdr:col>
                    <xdr:colOff>601980</xdr:colOff>
                    <xdr:row>37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49" name="Check Box 46">
              <controlPr defaultSize="0" autoFill="0" autoLine="0" autoPict="0" altText="">
                <anchor moveWithCells="1">
                  <from>
                    <xdr:col>6</xdr:col>
                    <xdr:colOff>152400</xdr:colOff>
                    <xdr:row>38</xdr:row>
                    <xdr:rowOff>7620</xdr:rowOff>
                  </from>
                  <to>
                    <xdr:col>6</xdr:col>
                    <xdr:colOff>601980</xdr:colOff>
                    <xdr:row>38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50" name="Check Box 47">
              <controlPr defaultSize="0" autoFill="0" autoLine="0" autoPict="0" altText="">
                <anchor moveWithCells="1">
                  <from>
                    <xdr:col>6</xdr:col>
                    <xdr:colOff>152400</xdr:colOff>
                    <xdr:row>39</xdr:row>
                    <xdr:rowOff>7620</xdr:rowOff>
                  </from>
                  <to>
                    <xdr:col>6</xdr:col>
                    <xdr:colOff>601980</xdr:colOff>
                    <xdr:row>39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51" name="Check Box 48">
              <controlPr defaultSize="0" autoFill="0" autoLine="0" autoPict="0" altText="">
                <anchor moveWithCells="1">
                  <from>
                    <xdr:col>6</xdr:col>
                    <xdr:colOff>152400</xdr:colOff>
                    <xdr:row>40</xdr:row>
                    <xdr:rowOff>7620</xdr:rowOff>
                  </from>
                  <to>
                    <xdr:col>6</xdr:col>
                    <xdr:colOff>601980</xdr:colOff>
                    <xdr:row>40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52" name="Check Box 49">
              <controlPr defaultSize="0" autoFill="0" autoLine="0" autoPict="0" altText="">
                <anchor moveWithCells="1">
                  <from>
                    <xdr:col>6</xdr:col>
                    <xdr:colOff>152400</xdr:colOff>
                    <xdr:row>41</xdr:row>
                    <xdr:rowOff>7620</xdr:rowOff>
                  </from>
                  <to>
                    <xdr:col>6</xdr:col>
                    <xdr:colOff>601980</xdr:colOff>
                    <xdr:row>41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53" name="Check Box 50">
              <controlPr defaultSize="0" autoFill="0" autoLine="0" autoPict="0" altText="">
                <anchor moveWithCells="1">
                  <from>
                    <xdr:col>6</xdr:col>
                    <xdr:colOff>152400</xdr:colOff>
                    <xdr:row>42</xdr:row>
                    <xdr:rowOff>7620</xdr:rowOff>
                  </from>
                  <to>
                    <xdr:col>6</xdr:col>
                    <xdr:colOff>601980</xdr:colOff>
                    <xdr:row>42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54" name="Check Box 51">
              <controlPr defaultSize="0" autoFill="0" autoLine="0" autoPict="0" altText="">
                <anchor moveWithCells="1">
                  <from>
                    <xdr:col>6</xdr:col>
                    <xdr:colOff>152400</xdr:colOff>
                    <xdr:row>47</xdr:row>
                    <xdr:rowOff>7620</xdr:rowOff>
                  </from>
                  <to>
                    <xdr:col>6</xdr:col>
                    <xdr:colOff>601980</xdr:colOff>
                    <xdr:row>47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55" name="Check Box 52">
              <controlPr defaultSize="0" autoFill="0" autoLine="0" autoPict="0" altText="">
                <anchor moveWithCells="1">
                  <from>
                    <xdr:col>6</xdr:col>
                    <xdr:colOff>152400</xdr:colOff>
                    <xdr:row>48</xdr:row>
                    <xdr:rowOff>7620</xdr:rowOff>
                  </from>
                  <to>
                    <xdr:col>6</xdr:col>
                    <xdr:colOff>601980</xdr:colOff>
                    <xdr:row>48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56" name="Check Box 53">
              <controlPr defaultSize="0" autoFill="0" autoLine="0" autoPict="0" altText="">
                <anchor moveWithCells="1">
                  <from>
                    <xdr:col>6</xdr:col>
                    <xdr:colOff>152400</xdr:colOff>
                    <xdr:row>49</xdr:row>
                    <xdr:rowOff>7620</xdr:rowOff>
                  </from>
                  <to>
                    <xdr:col>6</xdr:col>
                    <xdr:colOff>601980</xdr:colOff>
                    <xdr:row>49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57" name="Check Box 54">
              <controlPr defaultSize="0" autoFill="0" autoLine="0" autoPict="0" altText="">
                <anchor moveWithCells="1">
                  <from>
                    <xdr:col>6</xdr:col>
                    <xdr:colOff>152400</xdr:colOff>
                    <xdr:row>50</xdr:row>
                    <xdr:rowOff>7620</xdr:rowOff>
                  </from>
                  <to>
                    <xdr:col>6</xdr:col>
                    <xdr:colOff>601980</xdr:colOff>
                    <xdr:row>50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58" name="Check Box 55">
              <controlPr defaultSize="0" autoFill="0" autoLine="0" autoPict="0" altText="">
                <anchor moveWithCells="1">
                  <from>
                    <xdr:col>6</xdr:col>
                    <xdr:colOff>152400</xdr:colOff>
                    <xdr:row>51</xdr:row>
                    <xdr:rowOff>7620</xdr:rowOff>
                  </from>
                  <to>
                    <xdr:col>6</xdr:col>
                    <xdr:colOff>601980</xdr:colOff>
                    <xdr:row>51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59" name="Check Box 56">
              <controlPr defaultSize="0" autoFill="0" autoLine="0" autoPict="0" altText="">
                <anchor moveWithCells="1">
                  <from>
                    <xdr:col>6</xdr:col>
                    <xdr:colOff>152400</xdr:colOff>
                    <xdr:row>55</xdr:row>
                    <xdr:rowOff>7620</xdr:rowOff>
                  </from>
                  <to>
                    <xdr:col>6</xdr:col>
                    <xdr:colOff>601980</xdr:colOff>
                    <xdr:row>55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60" name="Check Box 57">
              <controlPr defaultSize="0" autoFill="0" autoLine="0" autoPict="0" altText="">
                <anchor moveWithCells="1">
                  <from>
                    <xdr:col>6</xdr:col>
                    <xdr:colOff>152400</xdr:colOff>
                    <xdr:row>56</xdr:row>
                    <xdr:rowOff>7620</xdr:rowOff>
                  </from>
                  <to>
                    <xdr:col>6</xdr:col>
                    <xdr:colOff>601980</xdr:colOff>
                    <xdr:row>56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61" name="Check Box 58">
              <controlPr defaultSize="0" autoFill="0" autoLine="0" autoPict="0" altText="">
                <anchor moveWithCells="1">
                  <from>
                    <xdr:col>6</xdr:col>
                    <xdr:colOff>152400</xdr:colOff>
                    <xdr:row>57</xdr:row>
                    <xdr:rowOff>7620</xdr:rowOff>
                  </from>
                  <to>
                    <xdr:col>6</xdr:col>
                    <xdr:colOff>601980</xdr:colOff>
                    <xdr:row>57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62" name="Check Box 59">
              <controlPr defaultSize="0" autoFill="0" autoLine="0" autoPict="0" altText="">
                <anchor moveWithCells="1">
                  <from>
                    <xdr:col>6</xdr:col>
                    <xdr:colOff>152400</xdr:colOff>
                    <xdr:row>58</xdr:row>
                    <xdr:rowOff>7620</xdr:rowOff>
                  </from>
                  <to>
                    <xdr:col>6</xdr:col>
                    <xdr:colOff>601980</xdr:colOff>
                    <xdr:row>58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63" name="Check Box 60">
              <controlPr defaultSize="0" autoFill="0" autoLine="0" autoPict="0" altText="">
                <anchor moveWithCells="1">
                  <from>
                    <xdr:col>6</xdr:col>
                    <xdr:colOff>152400</xdr:colOff>
                    <xdr:row>59</xdr:row>
                    <xdr:rowOff>7620</xdr:rowOff>
                  </from>
                  <to>
                    <xdr:col>6</xdr:col>
                    <xdr:colOff>601980</xdr:colOff>
                    <xdr:row>59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64" name="Check Box 61">
              <controlPr defaultSize="0" autoFill="0" autoLine="0" autoPict="0" altText="">
                <anchor moveWithCells="1">
                  <from>
                    <xdr:col>5</xdr:col>
                    <xdr:colOff>152400</xdr:colOff>
                    <xdr:row>63</xdr:row>
                    <xdr:rowOff>7620</xdr:rowOff>
                  </from>
                  <to>
                    <xdr:col>5</xdr:col>
                    <xdr:colOff>601980</xdr:colOff>
                    <xdr:row>63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65" name="Check Box 62">
              <controlPr defaultSize="0" autoFill="0" autoLine="0" autoPict="0" altText="">
                <anchor moveWithCells="1">
                  <from>
                    <xdr:col>5</xdr:col>
                    <xdr:colOff>152400</xdr:colOff>
                    <xdr:row>64</xdr:row>
                    <xdr:rowOff>7620</xdr:rowOff>
                  </from>
                  <to>
                    <xdr:col>5</xdr:col>
                    <xdr:colOff>601980</xdr:colOff>
                    <xdr:row>64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66" name="Check Box 63">
              <controlPr defaultSize="0" autoFill="0" autoLine="0" autoPict="0" altText="">
                <anchor moveWithCells="1">
                  <from>
                    <xdr:col>5</xdr:col>
                    <xdr:colOff>152400</xdr:colOff>
                    <xdr:row>65</xdr:row>
                    <xdr:rowOff>7620</xdr:rowOff>
                  </from>
                  <to>
                    <xdr:col>5</xdr:col>
                    <xdr:colOff>601980</xdr:colOff>
                    <xdr:row>65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67" name="Check Box 64">
              <controlPr defaultSize="0" autoFill="0" autoLine="0" autoPict="0" altText="">
                <anchor moveWithCells="1">
                  <from>
                    <xdr:col>5</xdr:col>
                    <xdr:colOff>152400</xdr:colOff>
                    <xdr:row>66</xdr:row>
                    <xdr:rowOff>7620</xdr:rowOff>
                  </from>
                  <to>
                    <xdr:col>5</xdr:col>
                    <xdr:colOff>601980</xdr:colOff>
                    <xdr:row>66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68" name="Check Box 65">
              <controlPr defaultSize="0" autoFill="0" autoLine="0" autoPict="0" altText="">
                <anchor moveWithCells="1">
                  <from>
                    <xdr:col>5</xdr:col>
                    <xdr:colOff>152400</xdr:colOff>
                    <xdr:row>67</xdr:row>
                    <xdr:rowOff>7620</xdr:rowOff>
                  </from>
                  <to>
                    <xdr:col>5</xdr:col>
                    <xdr:colOff>601980</xdr:colOff>
                    <xdr:row>67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69" name="Check Box 66">
              <controlPr defaultSize="0" autoFill="0" autoLine="0" autoPict="0" altText="">
                <anchor moveWithCells="1">
                  <from>
                    <xdr:col>5</xdr:col>
                    <xdr:colOff>152400</xdr:colOff>
                    <xdr:row>71</xdr:row>
                    <xdr:rowOff>7620</xdr:rowOff>
                  </from>
                  <to>
                    <xdr:col>5</xdr:col>
                    <xdr:colOff>601980</xdr:colOff>
                    <xdr:row>71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70" name="Check Box 67">
              <controlPr defaultSize="0" autoFill="0" autoLine="0" autoPict="0" altText="">
                <anchor moveWithCells="1">
                  <from>
                    <xdr:col>5</xdr:col>
                    <xdr:colOff>152400</xdr:colOff>
                    <xdr:row>72</xdr:row>
                    <xdr:rowOff>7620</xdr:rowOff>
                  </from>
                  <to>
                    <xdr:col>5</xdr:col>
                    <xdr:colOff>601980</xdr:colOff>
                    <xdr:row>72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71" name="Check Box 68">
              <controlPr defaultSize="0" autoFill="0" autoLine="0" autoPict="0" altText="">
                <anchor moveWithCells="1">
                  <from>
                    <xdr:col>5</xdr:col>
                    <xdr:colOff>152400</xdr:colOff>
                    <xdr:row>73</xdr:row>
                    <xdr:rowOff>7620</xdr:rowOff>
                  </from>
                  <to>
                    <xdr:col>5</xdr:col>
                    <xdr:colOff>601980</xdr:colOff>
                    <xdr:row>73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72" name="Check Box 69">
              <controlPr defaultSize="0" autoFill="0" autoLine="0" autoPict="0" altText="">
                <anchor moveWithCells="1">
                  <from>
                    <xdr:col>5</xdr:col>
                    <xdr:colOff>152400</xdr:colOff>
                    <xdr:row>74</xdr:row>
                    <xdr:rowOff>7620</xdr:rowOff>
                  </from>
                  <to>
                    <xdr:col>5</xdr:col>
                    <xdr:colOff>601980</xdr:colOff>
                    <xdr:row>74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73" name="Check Box 70">
              <controlPr defaultSize="0" autoFill="0" autoLine="0" autoPict="0" altText="">
                <anchor moveWithCells="1">
                  <from>
                    <xdr:col>5</xdr:col>
                    <xdr:colOff>152400</xdr:colOff>
                    <xdr:row>75</xdr:row>
                    <xdr:rowOff>7620</xdr:rowOff>
                  </from>
                  <to>
                    <xdr:col>5</xdr:col>
                    <xdr:colOff>601980</xdr:colOff>
                    <xdr:row>75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74" name="Check Box 71">
              <controlPr defaultSize="0" autoFill="0" autoLine="0" autoPict="0" altText="">
                <anchor moveWithCells="1">
                  <from>
                    <xdr:col>6</xdr:col>
                    <xdr:colOff>152400</xdr:colOff>
                    <xdr:row>9</xdr:row>
                    <xdr:rowOff>7620</xdr:rowOff>
                  </from>
                  <to>
                    <xdr:col>6</xdr:col>
                    <xdr:colOff>601980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75" name="Check Box 72">
              <controlPr defaultSize="0" autoFill="0" autoLine="0" autoPict="0" altText="">
                <anchor moveWithCells="1">
                  <from>
                    <xdr:col>6</xdr:col>
                    <xdr:colOff>152400</xdr:colOff>
                    <xdr:row>10</xdr:row>
                    <xdr:rowOff>7620</xdr:rowOff>
                  </from>
                  <to>
                    <xdr:col>6</xdr:col>
                    <xdr:colOff>601980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76" name="Check Box 73">
              <controlPr defaultSize="0" autoFill="0" autoLine="0" autoPict="0" altText="">
                <anchor moveWithCells="1">
                  <from>
                    <xdr:col>6</xdr:col>
                    <xdr:colOff>152400</xdr:colOff>
                    <xdr:row>11</xdr:row>
                    <xdr:rowOff>7620</xdr:rowOff>
                  </from>
                  <to>
                    <xdr:col>6</xdr:col>
                    <xdr:colOff>601980</xdr:colOff>
                    <xdr:row>11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77" name="Check Box 74">
              <controlPr defaultSize="0" autoFill="0" autoLine="0" autoPict="0" altText="">
                <anchor moveWithCells="1">
                  <from>
                    <xdr:col>6</xdr:col>
                    <xdr:colOff>152400</xdr:colOff>
                    <xdr:row>12</xdr:row>
                    <xdr:rowOff>7620</xdr:rowOff>
                  </from>
                  <to>
                    <xdr:col>6</xdr:col>
                    <xdr:colOff>601980</xdr:colOff>
                    <xdr:row>12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78" name="Check Box 75">
              <controlPr defaultSize="0" autoFill="0" autoLine="0" autoPict="0" altText="">
                <anchor moveWithCells="1">
                  <from>
                    <xdr:col>6</xdr:col>
                    <xdr:colOff>152400</xdr:colOff>
                    <xdr:row>13</xdr:row>
                    <xdr:rowOff>7620</xdr:rowOff>
                  </from>
                  <to>
                    <xdr:col>6</xdr:col>
                    <xdr:colOff>601980</xdr:colOff>
                    <xdr:row>13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79" name="Check Box 76">
              <controlPr defaultSize="0" autoFill="0" autoLine="0" autoPict="0" altText="">
                <anchor moveWithCells="1">
                  <from>
                    <xdr:col>6</xdr:col>
                    <xdr:colOff>152400</xdr:colOff>
                    <xdr:row>14</xdr:row>
                    <xdr:rowOff>7620</xdr:rowOff>
                  </from>
                  <to>
                    <xdr:col>6</xdr:col>
                    <xdr:colOff>601980</xdr:colOff>
                    <xdr:row>14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80" name="Check Box 77">
              <controlPr defaultSize="0" autoFill="0" autoLine="0" autoPict="0" altText="">
                <anchor moveWithCells="1">
                  <from>
                    <xdr:col>6</xdr:col>
                    <xdr:colOff>152400</xdr:colOff>
                    <xdr:row>15</xdr:row>
                    <xdr:rowOff>7620</xdr:rowOff>
                  </from>
                  <to>
                    <xdr:col>6</xdr:col>
                    <xdr:colOff>601980</xdr:colOff>
                    <xdr:row>15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81" name="Check Box 78">
              <controlPr defaultSize="0" autoFill="0" autoLine="0" autoPict="0" altText="">
                <anchor moveWithCells="1">
                  <from>
                    <xdr:col>6</xdr:col>
                    <xdr:colOff>152400</xdr:colOff>
                    <xdr:row>16</xdr:row>
                    <xdr:rowOff>7620</xdr:rowOff>
                  </from>
                  <to>
                    <xdr:col>6</xdr:col>
                    <xdr:colOff>601980</xdr:colOff>
                    <xdr:row>16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82" name="Check Box 79">
              <controlPr defaultSize="0" autoFill="0" autoLine="0" autoPict="0" altText="">
                <anchor moveWithCells="1">
                  <from>
                    <xdr:col>6</xdr:col>
                    <xdr:colOff>152400</xdr:colOff>
                    <xdr:row>17</xdr:row>
                    <xdr:rowOff>7620</xdr:rowOff>
                  </from>
                  <to>
                    <xdr:col>6</xdr:col>
                    <xdr:colOff>601980</xdr:colOff>
                    <xdr:row>17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83" name="Check Box 80">
              <controlPr defaultSize="0" autoFill="0" autoLine="0" autoPict="0" altText="">
                <anchor moveWithCells="1">
                  <from>
                    <xdr:col>6</xdr:col>
                    <xdr:colOff>152400</xdr:colOff>
                    <xdr:row>18</xdr:row>
                    <xdr:rowOff>7620</xdr:rowOff>
                  </from>
                  <to>
                    <xdr:col>6</xdr:col>
                    <xdr:colOff>601980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84" name="Check Box 81">
              <controlPr defaultSize="0" autoFill="0" autoLine="0" autoPict="0" altText="">
                <anchor moveWithCells="1">
                  <from>
                    <xdr:col>7</xdr:col>
                    <xdr:colOff>152400</xdr:colOff>
                    <xdr:row>9</xdr:row>
                    <xdr:rowOff>7620</xdr:rowOff>
                  </from>
                  <to>
                    <xdr:col>7</xdr:col>
                    <xdr:colOff>601980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85" name="Check Box 82">
              <controlPr defaultSize="0" autoFill="0" autoLine="0" autoPict="0" altText="">
                <anchor moveWithCells="1">
                  <from>
                    <xdr:col>7</xdr:col>
                    <xdr:colOff>152400</xdr:colOff>
                    <xdr:row>10</xdr:row>
                    <xdr:rowOff>7620</xdr:rowOff>
                  </from>
                  <to>
                    <xdr:col>7</xdr:col>
                    <xdr:colOff>601980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86" name="Check Box 83">
              <controlPr defaultSize="0" autoFill="0" autoLine="0" autoPict="0" altText="">
                <anchor moveWithCells="1">
                  <from>
                    <xdr:col>7</xdr:col>
                    <xdr:colOff>152400</xdr:colOff>
                    <xdr:row>11</xdr:row>
                    <xdr:rowOff>7620</xdr:rowOff>
                  </from>
                  <to>
                    <xdr:col>7</xdr:col>
                    <xdr:colOff>601980</xdr:colOff>
                    <xdr:row>11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87" name="Check Box 84">
              <controlPr defaultSize="0" autoFill="0" autoLine="0" autoPict="0" altText="">
                <anchor moveWithCells="1">
                  <from>
                    <xdr:col>7</xdr:col>
                    <xdr:colOff>152400</xdr:colOff>
                    <xdr:row>12</xdr:row>
                    <xdr:rowOff>7620</xdr:rowOff>
                  </from>
                  <to>
                    <xdr:col>7</xdr:col>
                    <xdr:colOff>601980</xdr:colOff>
                    <xdr:row>12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88" name="Check Box 85">
              <controlPr defaultSize="0" autoFill="0" autoLine="0" autoPict="0" altText="">
                <anchor moveWithCells="1">
                  <from>
                    <xdr:col>7</xdr:col>
                    <xdr:colOff>152400</xdr:colOff>
                    <xdr:row>13</xdr:row>
                    <xdr:rowOff>7620</xdr:rowOff>
                  </from>
                  <to>
                    <xdr:col>7</xdr:col>
                    <xdr:colOff>601980</xdr:colOff>
                    <xdr:row>13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" r:id="rId89" name="Check Box 86">
              <controlPr defaultSize="0" autoFill="0" autoLine="0" autoPict="0" altText="">
                <anchor moveWithCells="1">
                  <from>
                    <xdr:col>7</xdr:col>
                    <xdr:colOff>152400</xdr:colOff>
                    <xdr:row>14</xdr:row>
                    <xdr:rowOff>7620</xdr:rowOff>
                  </from>
                  <to>
                    <xdr:col>7</xdr:col>
                    <xdr:colOff>601980</xdr:colOff>
                    <xdr:row>14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90" name="Check Box 87">
              <controlPr defaultSize="0" autoFill="0" autoLine="0" autoPict="0" altText="">
                <anchor moveWithCells="1">
                  <from>
                    <xdr:col>7</xdr:col>
                    <xdr:colOff>152400</xdr:colOff>
                    <xdr:row>15</xdr:row>
                    <xdr:rowOff>7620</xdr:rowOff>
                  </from>
                  <to>
                    <xdr:col>7</xdr:col>
                    <xdr:colOff>601980</xdr:colOff>
                    <xdr:row>15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" r:id="rId91" name="Check Box 88">
              <controlPr defaultSize="0" autoFill="0" autoLine="0" autoPict="0" altText="">
                <anchor moveWithCells="1">
                  <from>
                    <xdr:col>7</xdr:col>
                    <xdr:colOff>152400</xdr:colOff>
                    <xdr:row>16</xdr:row>
                    <xdr:rowOff>7620</xdr:rowOff>
                  </from>
                  <to>
                    <xdr:col>7</xdr:col>
                    <xdr:colOff>601980</xdr:colOff>
                    <xdr:row>16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" r:id="rId92" name="Check Box 89">
              <controlPr defaultSize="0" autoFill="0" autoLine="0" autoPict="0" altText="">
                <anchor moveWithCells="1">
                  <from>
                    <xdr:col>7</xdr:col>
                    <xdr:colOff>152400</xdr:colOff>
                    <xdr:row>17</xdr:row>
                    <xdr:rowOff>7620</xdr:rowOff>
                  </from>
                  <to>
                    <xdr:col>7</xdr:col>
                    <xdr:colOff>601980</xdr:colOff>
                    <xdr:row>17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93" name="Check Box 90">
              <controlPr defaultSize="0" autoFill="0" autoLine="0" autoPict="0" altText="">
                <anchor moveWithCells="1">
                  <from>
                    <xdr:col>7</xdr:col>
                    <xdr:colOff>152400</xdr:colOff>
                    <xdr:row>18</xdr:row>
                    <xdr:rowOff>7620</xdr:rowOff>
                  </from>
                  <to>
                    <xdr:col>7</xdr:col>
                    <xdr:colOff>601980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94" name="Check Box 91">
              <controlPr defaultSize="0" autoFill="0" autoLine="0" autoPict="0" altText="">
                <anchor moveWithCells="1">
                  <from>
                    <xdr:col>8</xdr:col>
                    <xdr:colOff>152400</xdr:colOff>
                    <xdr:row>9</xdr:row>
                    <xdr:rowOff>7620</xdr:rowOff>
                  </from>
                  <to>
                    <xdr:col>8</xdr:col>
                    <xdr:colOff>601980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" r:id="rId95" name="Check Box 92">
              <controlPr defaultSize="0" autoFill="0" autoLine="0" autoPict="0" altText="">
                <anchor moveWithCells="1">
                  <from>
                    <xdr:col>8</xdr:col>
                    <xdr:colOff>152400</xdr:colOff>
                    <xdr:row>10</xdr:row>
                    <xdr:rowOff>7620</xdr:rowOff>
                  </from>
                  <to>
                    <xdr:col>8</xdr:col>
                    <xdr:colOff>601980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7" r:id="rId96" name="Check Box 93">
              <controlPr defaultSize="0" autoFill="0" autoLine="0" autoPict="0" altText="">
                <anchor moveWithCells="1">
                  <from>
                    <xdr:col>8</xdr:col>
                    <xdr:colOff>152400</xdr:colOff>
                    <xdr:row>11</xdr:row>
                    <xdr:rowOff>7620</xdr:rowOff>
                  </from>
                  <to>
                    <xdr:col>8</xdr:col>
                    <xdr:colOff>601980</xdr:colOff>
                    <xdr:row>11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" r:id="rId97" name="Check Box 94">
              <controlPr defaultSize="0" autoFill="0" autoLine="0" autoPict="0" altText="">
                <anchor moveWithCells="1">
                  <from>
                    <xdr:col>8</xdr:col>
                    <xdr:colOff>152400</xdr:colOff>
                    <xdr:row>12</xdr:row>
                    <xdr:rowOff>7620</xdr:rowOff>
                  </from>
                  <to>
                    <xdr:col>8</xdr:col>
                    <xdr:colOff>601980</xdr:colOff>
                    <xdr:row>12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9" r:id="rId98" name="Check Box 95">
              <controlPr defaultSize="0" autoFill="0" autoLine="0" autoPict="0" altText="">
                <anchor moveWithCells="1">
                  <from>
                    <xdr:col>8</xdr:col>
                    <xdr:colOff>152400</xdr:colOff>
                    <xdr:row>13</xdr:row>
                    <xdr:rowOff>7620</xdr:rowOff>
                  </from>
                  <to>
                    <xdr:col>8</xdr:col>
                    <xdr:colOff>601980</xdr:colOff>
                    <xdr:row>13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0" r:id="rId99" name="Check Box 96">
              <controlPr defaultSize="0" autoFill="0" autoLine="0" autoPict="0" altText="">
                <anchor moveWithCells="1">
                  <from>
                    <xdr:col>8</xdr:col>
                    <xdr:colOff>152400</xdr:colOff>
                    <xdr:row>14</xdr:row>
                    <xdr:rowOff>7620</xdr:rowOff>
                  </from>
                  <to>
                    <xdr:col>8</xdr:col>
                    <xdr:colOff>601980</xdr:colOff>
                    <xdr:row>14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1" r:id="rId100" name="Check Box 97">
              <controlPr defaultSize="0" autoFill="0" autoLine="0" autoPict="0" altText="">
                <anchor moveWithCells="1">
                  <from>
                    <xdr:col>8</xdr:col>
                    <xdr:colOff>152400</xdr:colOff>
                    <xdr:row>15</xdr:row>
                    <xdr:rowOff>7620</xdr:rowOff>
                  </from>
                  <to>
                    <xdr:col>8</xdr:col>
                    <xdr:colOff>601980</xdr:colOff>
                    <xdr:row>15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2" r:id="rId101" name="Check Box 98">
              <controlPr defaultSize="0" autoFill="0" autoLine="0" autoPict="0" altText="">
                <anchor moveWithCells="1">
                  <from>
                    <xdr:col>8</xdr:col>
                    <xdr:colOff>152400</xdr:colOff>
                    <xdr:row>16</xdr:row>
                    <xdr:rowOff>7620</xdr:rowOff>
                  </from>
                  <to>
                    <xdr:col>8</xdr:col>
                    <xdr:colOff>601980</xdr:colOff>
                    <xdr:row>16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3" r:id="rId102" name="Check Box 99">
              <controlPr defaultSize="0" autoFill="0" autoLine="0" autoPict="0" altText="">
                <anchor moveWithCells="1">
                  <from>
                    <xdr:col>8</xdr:col>
                    <xdr:colOff>152400</xdr:colOff>
                    <xdr:row>17</xdr:row>
                    <xdr:rowOff>7620</xdr:rowOff>
                  </from>
                  <to>
                    <xdr:col>8</xdr:col>
                    <xdr:colOff>601980</xdr:colOff>
                    <xdr:row>17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4" r:id="rId103" name="Check Box 100">
              <controlPr defaultSize="0" autoFill="0" autoLine="0" autoPict="0" altText="">
                <anchor moveWithCells="1">
                  <from>
                    <xdr:col>8</xdr:col>
                    <xdr:colOff>152400</xdr:colOff>
                    <xdr:row>18</xdr:row>
                    <xdr:rowOff>7620</xdr:rowOff>
                  </from>
                  <to>
                    <xdr:col>8</xdr:col>
                    <xdr:colOff>601980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" r:id="rId104" name="Check Box 101">
              <controlPr defaultSize="0" autoFill="0" autoLine="0" autoPict="0" altText="">
                <anchor moveWithCells="1">
                  <from>
                    <xdr:col>6</xdr:col>
                    <xdr:colOff>152400</xdr:colOff>
                    <xdr:row>12</xdr:row>
                    <xdr:rowOff>7620</xdr:rowOff>
                  </from>
                  <to>
                    <xdr:col>6</xdr:col>
                    <xdr:colOff>601980</xdr:colOff>
                    <xdr:row>12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105" name="Check Box 102">
              <controlPr defaultSize="0" autoFill="0" autoLine="0" autoPict="0" altText="">
                <anchor moveWithCells="1">
                  <from>
                    <xdr:col>6</xdr:col>
                    <xdr:colOff>152400</xdr:colOff>
                    <xdr:row>13</xdr:row>
                    <xdr:rowOff>7620</xdr:rowOff>
                  </from>
                  <to>
                    <xdr:col>6</xdr:col>
                    <xdr:colOff>601980</xdr:colOff>
                    <xdr:row>13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106" name="Check Box 103">
              <controlPr defaultSize="0" autoFill="0" autoLine="0" autoPict="0" altText="">
                <anchor moveWithCells="1">
                  <from>
                    <xdr:col>6</xdr:col>
                    <xdr:colOff>152400</xdr:colOff>
                    <xdr:row>14</xdr:row>
                    <xdr:rowOff>7620</xdr:rowOff>
                  </from>
                  <to>
                    <xdr:col>6</xdr:col>
                    <xdr:colOff>601980</xdr:colOff>
                    <xdr:row>14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" r:id="rId107" name="Check Box 104">
              <controlPr defaultSize="0" autoFill="0" autoLine="0" autoPict="0" altText="">
                <anchor moveWithCells="1">
                  <from>
                    <xdr:col>6</xdr:col>
                    <xdr:colOff>152400</xdr:colOff>
                    <xdr:row>15</xdr:row>
                    <xdr:rowOff>7620</xdr:rowOff>
                  </from>
                  <to>
                    <xdr:col>6</xdr:col>
                    <xdr:colOff>601980</xdr:colOff>
                    <xdr:row>15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" r:id="rId108" name="Check Box 105">
              <controlPr defaultSize="0" autoFill="0" autoLine="0" autoPict="0" altText="">
                <anchor moveWithCells="1">
                  <from>
                    <xdr:col>6</xdr:col>
                    <xdr:colOff>152400</xdr:colOff>
                    <xdr:row>16</xdr:row>
                    <xdr:rowOff>7620</xdr:rowOff>
                  </from>
                  <to>
                    <xdr:col>6</xdr:col>
                    <xdr:colOff>601980</xdr:colOff>
                    <xdr:row>16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" r:id="rId109" name="Check Box 106">
              <controlPr defaultSize="0" autoFill="0" autoLine="0" autoPict="0" altText="">
                <anchor moveWithCells="1">
                  <from>
                    <xdr:col>6</xdr:col>
                    <xdr:colOff>152400</xdr:colOff>
                    <xdr:row>17</xdr:row>
                    <xdr:rowOff>7620</xdr:rowOff>
                  </from>
                  <to>
                    <xdr:col>6</xdr:col>
                    <xdr:colOff>601980</xdr:colOff>
                    <xdr:row>17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" r:id="rId110" name="Check Box 107">
              <controlPr defaultSize="0" autoFill="0" autoLine="0" autoPict="0" altText="">
                <anchor moveWithCells="1">
                  <from>
                    <xdr:col>6</xdr:col>
                    <xdr:colOff>152400</xdr:colOff>
                    <xdr:row>18</xdr:row>
                    <xdr:rowOff>7620</xdr:rowOff>
                  </from>
                  <to>
                    <xdr:col>6</xdr:col>
                    <xdr:colOff>601980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11" name="Drop Down 108">
              <controlPr defaultSize="0" autoLine="0" autoPict="0">
                <anchor moveWithCells="1">
                  <from>
                    <xdr:col>7</xdr:col>
                    <xdr:colOff>22860</xdr:colOff>
                    <xdr:row>25</xdr:row>
                    <xdr:rowOff>22860</xdr:rowOff>
                  </from>
                  <to>
                    <xdr:col>7</xdr:col>
                    <xdr:colOff>982980</xdr:colOff>
                    <xdr:row>25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" r:id="rId112" name="Drop Down 109">
              <controlPr defaultSize="0" autoLine="0" autoPict="0">
                <anchor moveWithCells="1">
                  <from>
                    <xdr:col>7</xdr:col>
                    <xdr:colOff>22860</xdr:colOff>
                    <xdr:row>26</xdr:row>
                    <xdr:rowOff>22860</xdr:rowOff>
                  </from>
                  <to>
                    <xdr:col>7</xdr:col>
                    <xdr:colOff>982980</xdr:colOff>
                    <xdr:row>26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113" name="Drop Down 110">
              <controlPr defaultSize="0" autoLine="0" autoPict="0">
                <anchor moveWithCells="1">
                  <from>
                    <xdr:col>7</xdr:col>
                    <xdr:colOff>22860</xdr:colOff>
                    <xdr:row>27</xdr:row>
                    <xdr:rowOff>22860</xdr:rowOff>
                  </from>
                  <to>
                    <xdr:col>7</xdr:col>
                    <xdr:colOff>982980</xdr:colOff>
                    <xdr:row>27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14" name="Drop Down 111">
              <controlPr defaultSize="0" autoLine="0" autoPict="0">
                <anchor moveWithCells="1">
                  <from>
                    <xdr:col>7</xdr:col>
                    <xdr:colOff>22860</xdr:colOff>
                    <xdr:row>28</xdr:row>
                    <xdr:rowOff>22860</xdr:rowOff>
                  </from>
                  <to>
                    <xdr:col>7</xdr:col>
                    <xdr:colOff>982980</xdr:colOff>
                    <xdr:row>28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15" name="Drop Down 112">
              <controlPr defaultSize="0" autoLine="0" autoPict="0">
                <anchor moveWithCells="1">
                  <from>
                    <xdr:col>7</xdr:col>
                    <xdr:colOff>22860</xdr:colOff>
                    <xdr:row>29</xdr:row>
                    <xdr:rowOff>22860</xdr:rowOff>
                  </from>
                  <to>
                    <xdr:col>7</xdr:col>
                    <xdr:colOff>982980</xdr:colOff>
                    <xdr:row>29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16" name="Check Box 113">
              <controlPr defaultSize="0" autoFill="0" autoLine="0" autoPict="0" altText="">
                <anchor moveWithCells="1">
                  <from>
                    <xdr:col>8</xdr:col>
                    <xdr:colOff>152400</xdr:colOff>
                    <xdr:row>25</xdr:row>
                    <xdr:rowOff>7620</xdr:rowOff>
                  </from>
                  <to>
                    <xdr:col>8</xdr:col>
                    <xdr:colOff>601980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17" name="Check Box 114">
              <controlPr defaultSize="0" autoFill="0" autoLine="0" autoPict="0" altText="">
                <anchor moveWithCells="1">
                  <from>
                    <xdr:col>8</xdr:col>
                    <xdr:colOff>152400</xdr:colOff>
                    <xdr:row>26</xdr:row>
                    <xdr:rowOff>7620</xdr:rowOff>
                  </from>
                  <to>
                    <xdr:col>8</xdr:col>
                    <xdr:colOff>601980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118" name="Check Box 115">
              <controlPr defaultSize="0" autoFill="0" autoLine="0" autoPict="0" altText="">
                <anchor moveWithCells="1">
                  <from>
                    <xdr:col>8</xdr:col>
                    <xdr:colOff>152400</xdr:colOff>
                    <xdr:row>27</xdr:row>
                    <xdr:rowOff>7620</xdr:rowOff>
                  </from>
                  <to>
                    <xdr:col>8</xdr:col>
                    <xdr:colOff>601980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" r:id="rId119" name="Check Box 116">
              <controlPr defaultSize="0" autoFill="0" autoLine="0" autoPict="0" altText="">
                <anchor moveWithCells="1">
                  <from>
                    <xdr:col>8</xdr:col>
                    <xdr:colOff>152400</xdr:colOff>
                    <xdr:row>28</xdr:row>
                    <xdr:rowOff>7620</xdr:rowOff>
                  </from>
                  <to>
                    <xdr:col>8</xdr:col>
                    <xdr:colOff>601980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" r:id="rId120" name="Check Box 117">
              <controlPr defaultSize="0" autoFill="0" autoLine="0" autoPict="0" altText="">
                <anchor moveWithCells="1">
                  <from>
                    <xdr:col>8</xdr:col>
                    <xdr:colOff>152400</xdr:colOff>
                    <xdr:row>29</xdr:row>
                    <xdr:rowOff>7620</xdr:rowOff>
                  </from>
                  <to>
                    <xdr:col>8</xdr:col>
                    <xdr:colOff>601980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121" name="Drop Down 118">
              <controlPr defaultSize="0" autoLine="0" autoPict="0">
                <anchor moveWithCells="1">
                  <from>
                    <xdr:col>2</xdr:col>
                    <xdr:colOff>22860</xdr:colOff>
                    <xdr:row>5</xdr:row>
                    <xdr:rowOff>7620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122" name="Drop Down 119">
              <controlPr defaultSize="0" autoLine="0" autoPict="0">
                <anchor moveWithCells="1">
                  <from>
                    <xdr:col>8</xdr:col>
                    <xdr:colOff>7620</xdr:colOff>
                    <xdr:row>8</xdr:row>
                    <xdr:rowOff>22860</xdr:rowOff>
                  </from>
                  <to>
                    <xdr:col>8</xdr:col>
                    <xdr:colOff>1379220</xdr:colOff>
                    <xdr:row>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123" name="Check Box 121">
              <controlPr defaultSize="0" autoFill="0" autoLine="0" autoPict="0" altText="">
                <anchor moveWithCells="1">
                  <from>
                    <xdr:col>7</xdr:col>
                    <xdr:colOff>152400</xdr:colOff>
                    <xdr:row>33</xdr:row>
                    <xdr:rowOff>7620</xdr:rowOff>
                  </from>
                  <to>
                    <xdr:col>7</xdr:col>
                    <xdr:colOff>601980</xdr:colOff>
                    <xdr:row>33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124" name="Check Box 122">
              <controlPr defaultSize="0" autoFill="0" autoLine="0" autoPict="0" altText="">
                <anchor moveWithCells="1">
                  <from>
                    <xdr:col>7</xdr:col>
                    <xdr:colOff>152400</xdr:colOff>
                    <xdr:row>34</xdr:row>
                    <xdr:rowOff>7620</xdr:rowOff>
                  </from>
                  <to>
                    <xdr:col>7</xdr:col>
                    <xdr:colOff>601980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125" name="Check Box 123">
              <controlPr defaultSize="0" autoFill="0" autoLine="0" autoPict="0" altText="">
                <anchor moveWithCells="1">
                  <from>
                    <xdr:col>7</xdr:col>
                    <xdr:colOff>152400</xdr:colOff>
                    <xdr:row>35</xdr:row>
                    <xdr:rowOff>7620</xdr:rowOff>
                  </from>
                  <to>
                    <xdr:col>7</xdr:col>
                    <xdr:colOff>601980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126" name="Check Box 124">
              <controlPr defaultSize="0" autoFill="0" autoLine="0" autoPict="0" altText="">
                <anchor moveWithCells="1">
                  <from>
                    <xdr:col>7</xdr:col>
                    <xdr:colOff>152400</xdr:colOff>
                    <xdr:row>36</xdr:row>
                    <xdr:rowOff>7620</xdr:rowOff>
                  </from>
                  <to>
                    <xdr:col>7</xdr:col>
                    <xdr:colOff>601980</xdr:colOff>
                    <xdr:row>36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127" name="Check Box 125">
              <controlPr defaultSize="0" autoFill="0" autoLine="0" autoPict="0" altText="">
                <anchor moveWithCells="1">
                  <from>
                    <xdr:col>7</xdr:col>
                    <xdr:colOff>152400</xdr:colOff>
                    <xdr:row>37</xdr:row>
                    <xdr:rowOff>7620</xdr:rowOff>
                  </from>
                  <to>
                    <xdr:col>7</xdr:col>
                    <xdr:colOff>601980</xdr:colOff>
                    <xdr:row>37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128" name="Check Box 126">
              <controlPr defaultSize="0" autoFill="0" autoLine="0" autoPict="0" altText="">
                <anchor moveWithCells="1">
                  <from>
                    <xdr:col>7</xdr:col>
                    <xdr:colOff>152400</xdr:colOff>
                    <xdr:row>38</xdr:row>
                    <xdr:rowOff>7620</xdr:rowOff>
                  </from>
                  <to>
                    <xdr:col>7</xdr:col>
                    <xdr:colOff>601980</xdr:colOff>
                    <xdr:row>38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129" name="Check Box 127">
              <controlPr defaultSize="0" autoFill="0" autoLine="0" autoPict="0" altText="">
                <anchor moveWithCells="1">
                  <from>
                    <xdr:col>7</xdr:col>
                    <xdr:colOff>152400</xdr:colOff>
                    <xdr:row>39</xdr:row>
                    <xdr:rowOff>7620</xdr:rowOff>
                  </from>
                  <to>
                    <xdr:col>7</xdr:col>
                    <xdr:colOff>601980</xdr:colOff>
                    <xdr:row>39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130" name="Check Box 128">
              <controlPr defaultSize="0" autoFill="0" autoLine="0" autoPict="0" altText="">
                <anchor moveWithCells="1">
                  <from>
                    <xdr:col>7</xdr:col>
                    <xdr:colOff>152400</xdr:colOff>
                    <xdr:row>40</xdr:row>
                    <xdr:rowOff>7620</xdr:rowOff>
                  </from>
                  <to>
                    <xdr:col>7</xdr:col>
                    <xdr:colOff>601980</xdr:colOff>
                    <xdr:row>40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131" name="Check Box 129">
              <controlPr defaultSize="0" autoFill="0" autoLine="0" autoPict="0" altText="">
                <anchor moveWithCells="1">
                  <from>
                    <xdr:col>7</xdr:col>
                    <xdr:colOff>152400</xdr:colOff>
                    <xdr:row>41</xdr:row>
                    <xdr:rowOff>7620</xdr:rowOff>
                  </from>
                  <to>
                    <xdr:col>7</xdr:col>
                    <xdr:colOff>601980</xdr:colOff>
                    <xdr:row>41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132" name="Check Box 130">
              <controlPr defaultSize="0" autoFill="0" autoLine="0" autoPict="0" altText="">
                <anchor moveWithCells="1">
                  <from>
                    <xdr:col>7</xdr:col>
                    <xdr:colOff>152400</xdr:colOff>
                    <xdr:row>42</xdr:row>
                    <xdr:rowOff>7620</xdr:rowOff>
                  </from>
                  <to>
                    <xdr:col>7</xdr:col>
                    <xdr:colOff>601980</xdr:colOff>
                    <xdr:row>42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133" name="Check Box 131">
              <controlPr defaultSize="0" autoFill="0" autoLine="0" autoPict="0" altText="">
                <anchor moveWithCells="1">
                  <from>
                    <xdr:col>2</xdr:col>
                    <xdr:colOff>152400</xdr:colOff>
                    <xdr:row>20</xdr:row>
                    <xdr:rowOff>7620</xdr:rowOff>
                  </from>
                  <to>
                    <xdr:col>2</xdr:col>
                    <xdr:colOff>457200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134" name="Check Box 132">
              <controlPr defaultSize="0" autoFill="0" autoLine="0" autoPict="0" altText="">
                <anchor moveWithCells="1">
                  <from>
                    <xdr:col>2</xdr:col>
                    <xdr:colOff>152400</xdr:colOff>
                    <xdr:row>43</xdr:row>
                    <xdr:rowOff>7620</xdr:rowOff>
                  </from>
                  <to>
                    <xdr:col>2</xdr:col>
                    <xdr:colOff>457200</xdr:colOff>
                    <xdr:row>43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135" name="Check Box 147">
              <controlPr defaultSize="0" autoFill="0" autoLine="0" autoPict="0">
                <anchor moveWithCells="1">
                  <from>
                    <xdr:col>2</xdr:col>
                    <xdr:colOff>114300</xdr:colOff>
                    <xdr:row>30</xdr:row>
                    <xdr:rowOff>7620</xdr:rowOff>
                  </from>
                  <to>
                    <xdr:col>2</xdr:col>
                    <xdr:colOff>419100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136" name="Drop Down 149">
              <controlPr defaultSize="0" autoLine="0" autoPict="0">
                <anchor moveWithCells="1">
                  <from>
                    <xdr:col>4</xdr:col>
                    <xdr:colOff>22860</xdr:colOff>
                    <xdr:row>79</xdr:row>
                    <xdr:rowOff>22860</xdr:rowOff>
                  </from>
                  <to>
                    <xdr:col>4</xdr:col>
                    <xdr:colOff>982980</xdr:colOff>
                    <xdr:row>79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137" name="Drop Down 150">
              <controlPr defaultSize="0" autoLine="0" autoPict="0">
                <anchor moveWithCells="1">
                  <from>
                    <xdr:col>4</xdr:col>
                    <xdr:colOff>22860</xdr:colOff>
                    <xdr:row>80</xdr:row>
                    <xdr:rowOff>22860</xdr:rowOff>
                  </from>
                  <to>
                    <xdr:col>4</xdr:col>
                    <xdr:colOff>982980</xdr:colOff>
                    <xdr:row>80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138" name="Drop Down 151">
              <controlPr defaultSize="0" autoLine="0" autoPict="0">
                <anchor moveWithCells="1">
                  <from>
                    <xdr:col>4</xdr:col>
                    <xdr:colOff>22860</xdr:colOff>
                    <xdr:row>81</xdr:row>
                    <xdr:rowOff>22860</xdr:rowOff>
                  </from>
                  <to>
                    <xdr:col>4</xdr:col>
                    <xdr:colOff>982980</xdr:colOff>
                    <xdr:row>81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139" name="Drop Down 152">
              <controlPr defaultSize="0" autoLine="0" autoPict="0">
                <anchor moveWithCells="1">
                  <from>
                    <xdr:col>4</xdr:col>
                    <xdr:colOff>22860</xdr:colOff>
                    <xdr:row>82</xdr:row>
                    <xdr:rowOff>22860</xdr:rowOff>
                  </from>
                  <to>
                    <xdr:col>4</xdr:col>
                    <xdr:colOff>982980</xdr:colOff>
                    <xdr:row>82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140" name="Drop Down 153">
              <controlPr defaultSize="0" autoLine="0" autoPict="0">
                <anchor moveWithCells="1">
                  <from>
                    <xdr:col>4</xdr:col>
                    <xdr:colOff>22860</xdr:colOff>
                    <xdr:row>83</xdr:row>
                    <xdr:rowOff>22860</xdr:rowOff>
                  </from>
                  <to>
                    <xdr:col>4</xdr:col>
                    <xdr:colOff>982980</xdr:colOff>
                    <xdr:row>83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141" name="Check Box 154">
              <controlPr defaultSize="0" autoFill="0" autoLine="0" autoPict="0" altText="">
                <anchor moveWithCells="1">
                  <from>
                    <xdr:col>5</xdr:col>
                    <xdr:colOff>152400</xdr:colOff>
                    <xdr:row>79</xdr:row>
                    <xdr:rowOff>7620</xdr:rowOff>
                  </from>
                  <to>
                    <xdr:col>5</xdr:col>
                    <xdr:colOff>601980</xdr:colOff>
                    <xdr:row>79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142" name="Check Box 155">
              <controlPr defaultSize="0" autoFill="0" autoLine="0" autoPict="0" altText="">
                <anchor moveWithCells="1">
                  <from>
                    <xdr:col>5</xdr:col>
                    <xdr:colOff>152400</xdr:colOff>
                    <xdr:row>80</xdr:row>
                    <xdr:rowOff>7620</xdr:rowOff>
                  </from>
                  <to>
                    <xdr:col>5</xdr:col>
                    <xdr:colOff>601980</xdr:colOff>
                    <xdr:row>80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143" name="Check Box 156">
              <controlPr defaultSize="0" autoFill="0" autoLine="0" autoPict="0" altText="">
                <anchor moveWithCells="1">
                  <from>
                    <xdr:col>5</xdr:col>
                    <xdr:colOff>152400</xdr:colOff>
                    <xdr:row>81</xdr:row>
                    <xdr:rowOff>7620</xdr:rowOff>
                  </from>
                  <to>
                    <xdr:col>5</xdr:col>
                    <xdr:colOff>601980</xdr:colOff>
                    <xdr:row>81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144" name="Check Box 157">
              <controlPr defaultSize="0" autoFill="0" autoLine="0" autoPict="0" altText="">
                <anchor moveWithCells="1">
                  <from>
                    <xdr:col>5</xdr:col>
                    <xdr:colOff>152400</xdr:colOff>
                    <xdr:row>82</xdr:row>
                    <xdr:rowOff>7620</xdr:rowOff>
                  </from>
                  <to>
                    <xdr:col>5</xdr:col>
                    <xdr:colOff>601980</xdr:colOff>
                    <xdr:row>82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145" name="Check Box 158">
              <controlPr defaultSize="0" autoFill="0" autoLine="0" autoPict="0" altText="">
                <anchor moveWithCells="1">
                  <from>
                    <xdr:col>5</xdr:col>
                    <xdr:colOff>152400</xdr:colOff>
                    <xdr:row>83</xdr:row>
                    <xdr:rowOff>7620</xdr:rowOff>
                  </from>
                  <to>
                    <xdr:col>5</xdr:col>
                    <xdr:colOff>601980</xdr:colOff>
                    <xdr:row>83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" r:id="rId146" name="Button 159">
              <controlPr defaultSize="0" print="0" autoFill="0" autoPict="0" macro="[0]!обнуление2">
                <anchor moveWithCells="1" sizeWithCells="1">
                  <from>
                    <xdr:col>6</xdr:col>
                    <xdr:colOff>388620</xdr:colOff>
                    <xdr:row>4</xdr:row>
                    <xdr:rowOff>160020</xdr:rowOff>
                  </from>
                  <to>
                    <xdr:col>8</xdr:col>
                    <xdr:colOff>441960</xdr:colOff>
                    <xdr:row>6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0070C0"/>
  </sheetPr>
  <dimension ref="A3:Y8487"/>
  <sheetViews>
    <sheetView topLeftCell="A105" zoomScale="70" zoomScaleNormal="70" workbookViewId="0">
      <selection activeCell="N104" sqref="N104"/>
    </sheetView>
  </sheetViews>
  <sheetFormatPr defaultColWidth="9.109375" defaultRowHeight="18" x14ac:dyDescent="0.3"/>
  <cols>
    <col min="1" max="1" width="7.44140625" style="1" customWidth="1"/>
    <col min="2" max="2" width="20.5546875" style="1" customWidth="1"/>
    <col min="3" max="3" width="24.5546875" style="1" customWidth="1"/>
    <col min="4" max="4" width="13.33203125" style="1" customWidth="1"/>
    <col min="5" max="5" width="20.88671875" style="1" customWidth="1"/>
    <col min="6" max="7" width="17" style="1" customWidth="1"/>
    <col min="8" max="8" width="18.44140625" style="1" customWidth="1"/>
    <col min="9" max="9" width="17.33203125" style="1" customWidth="1"/>
    <col min="10" max="10" width="12.88671875" style="1" customWidth="1"/>
    <col min="11" max="11" width="13.5546875" style="1" customWidth="1"/>
    <col min="12" max="12" width="16.5546875" style="1" bestFit="1" customWidth="1"/>
    <col min="13" max="13" width="12.33203125" style="1" customWidth="1"/>
    <col min="14" max="14" width="21.5546875" style="1" customWidth="1"/>
    <col min="15" max="15" width="17.88671875" style="1" customWidth="1"/>
    <col min="16" max="16" width="13.33203125" style="1" customWidth="1"/>
    <col min="17" max="18" width="15.33203125" style="1" customWidth="1"/>
    <col min="19" max="19" width="13.44140625" style="1" customWidth="1"/>
    <col min="20" max="20" width="14" style="1" customWidth="1"/>
    <col min="21" max="21" width="12.88671875" style="1" customWidth="1"/>
    <col min="22" max="22" width="10.6640625" style="1" customWidth="1"/>
    <col min="23" max="23" width="16" style="1" bestFit="1" customWidth="1"/>
    <col min="24" max="24" width="12.88671875" style="1" customWidth="1"/>
    <col min="25" max="16384" width="9.109375" style="1"/>
  </cols>
  <sheetData>
    <row r="3" spans="1:9" ht="36" x14ac:dyDescent="0.3">
      <c r="A3" s="5">
        <v>0</v>
      </c>
      <c r="B3" s="1">
        <v>1</v>
      </c>
      <c r="C3" s="1" t="s">
        <v>150</v>
      </c>
      <c r="E3" s="1">
        <v>3</v>
      </c>
    </row>
    <row r="4" spans="1:9" ht="36" x14ac:dyDescent="0.3">
      <c r="A4" s="5"/>
      <c r="B4" s="1">
        <v>2</v>
      </c>
      <c r="C4" s="12" t="s">
        <v>116</v>
      </c>
      <c r="D4" s="12"/>
      <c r="E4" s="1">
        <v>3.85</v>
      </c>
      <c r="H4" s="1">
        <f>IF(G7=1,K29,0)</f>
        <v>0</v>
      </c>
    </row>
    <row r="5" spans="1:9" ht="36" x14ac:dyDescent="0.3">
      <c r="B5" s="1">
        <v>3</v>
      </c>
      <c r="C5" s="12" t="s">
        <v>117</v>
      </c>
      <c r="D5" s="12"/>
      <c r="E5" s="1">
        <v>3.66</v>
      </c>
      <c r="G5" s="1" t="s">
        <v>21</v>
      </c>
      <c r="H5" s="1">
        <f>IF(G7=1,K29,0)</f>
        <v>0</v>
      </c>
      <c r="I5" s="1" t="s">
        <v>21</v>
      </c>
    </row>
    <row r="6" spans="1:9" ht="54" x14ac:dyDescent="0.3">
      <c r="B6" s="1">
        <v>4</v>
      </c>
      <c r="C6" s="12" t="s">
        <v>119</v>
      </c>
      <c r="D6" s="12"/>
      <c r="E6" s="1">
        <v>6</v>
      </c>
      <c r="G6" s="1" t="str">
        <f>IF(C11=1,I6,I5)</f>
        <v>J-профиль</v>
      </c>
      <c r="H6" s="1">
        <f>IF(G7=2,K29,0)</f>
        <v>0</v>
      </c>
      <c r="I6" s="1" t="s">
        <v>50</v>
      </c>
    </row>
    <row r="7" spans="1:9" ht="54" x14ac:dyDescent="0.3">
      <c r="B7" s="1">
        <v>5</v>
      </c>
      <c r="C7" s="12" t="s">
        <v>120</v>
      </c>
      <c r="D7" s="12"/>
      <c r="G7" s="1">
        <v>1</v>
      </c>
    </row>
    <row r="8" spans="1:9" ht="36" x14ac:dyDescent="0.3">
      <c r="B8" s="1">
        <v>6</v>
      </c>
      <c r="C8" s="12" t="s">
        <v>153</v>
      </c>
      <c r="D8" s="12"/>
    </row>
    <row r="9" spans="1:9" ht="72" x14ac:dyDescent="0.3">
      <c r="B9" s="1">
        <v>7</v>
      </c>
      <c r="C9" s="12" t="s">
        <v>155</v>
      </c>
      <c r="D9" s="12"/>
      <c r="E9" s="1">
        <v>3.85</v>
      </c>
    </row>
    <row r="10" spans="1:9" ht="72" x14ac:dyDescent="0.3">
      <c r="B10" s="1">
        <v>8</v>
      </c>
      <c r="C10" s="12" t="s">
        <v>156</v>
      </c>
      <c r="D10" s="12"/>
      <c r="E10" s="1">
        <v>3.85</v>
      </c>
    </row>
    <row r="11" spans="1:9" x14ac:dyDescent="0.3">
      <c r="B11" s="1">
        <v>9</v>
      </c>
      <c r="C11" s="13">
        <v>4</v>
      </c>
      <c r="D11" s="13"/>
      <c r="E11" s="14">
        <f>INDEX(E4:E11,C11)</f>
        <v>0</v>
      </c>
    </row>
    <row r="12" spans="1:9" x14ac:dyDescent="0.3">
      <c r="B12" s="1">
        <v>10</v>
      </c>
      <c r="C12" s="1">
        <f>IF(C11=8,7,C11)</f>
        <v>4</v>
      </c>
    </row>
    <row r="13" spans="1:9" x14ac:dyDescent="0.3">
      <c r="B13" s="1">
        <v>11</v>
      </c>
    </row>
    <row r="14" spans="1:9" x14ac:dyDescent="0.3">
      <c r="B14" s="1">
        <v>12</v>
      </c>
    </row>
    <row r="15" spans="1:9" x14ac:dyDescent="0.3">
      <c r="B15" s="1">
        <v>13</v>
      </c>
    </row>
    <row r="17" spans="1:25" x14ac:dyDescent="0.3">
      <c r="A17" s="5">
        <v>1</v>
      </c>
      <c r="B17" s="71" t="s">
        <v>4</v>
      </c>
      <c r="C17" s="71"/>
      <c r="D17" s="71"/>
      <c r="E17" s="71"/>
      <c r="F17" s="71"/>
    </row>
    <row r="18" spans="1:25" ht="57" customHeight="1" x14ac:dyDescent="0.3">
      <c r="B18" s="2" t="s">
        <v>3</v>
      </c>
      <c r="C18" s="2" t="s">
        <v>5</v>
      </c>
      <c r="D18" s="2"/>
      <c r="E18" s="2" t="s">
        <v>2</v>
      </c>
      <c r="F18" s="2" t="s">
        <v>6</v>
      </c>
      <c r="G18" s="2" t="s">
        <v>26</v>
      </c>
      <c r="H18" s="2" t="s">
        <v>24</v>
      </c>
      <c r="I18" s="2" t="s">
        <v>25</v>
      </c>
      <c r="J18" s="2"/>
      <c r="K18" s="2" t="s">
        <v>51</v>
      </c>
      <c r="L18" s="2" t="s">
        <v>23</v>
      </c>
      <c r="M18" s="2" t="s">
        <v>23</v>
      </c>
      <c r="N18" s="2" t="s">
        <v>23</v>
      </c>
      <c r="O18" s="2" t="s">
        <v>49</v>
      </c>
      <c r="P18" s="2" t="s">
        <v>23</v>
      </c>
      <c r="Q18" s="2" t="s">
        <v>61</v>
      </c>
      <c r="R18" s="2"/>
      <c r="S18" s="2" t="s">
        <v>23</v>
      </c>
      <c r="U18" s="1" t="s">
        <v>84</v>
      </c>
      <c r="V18" s="1" t="s">
        <v>85</v>
      </c>
      <c r="W18" s="1" t="s">
        <v>85</v>
      </c>
      <c r="Y18" s="1" t="s">
        <v>114</v>
      </c>
    </row>
    <row r="19" spans="1:25" x14ac:dyDescent="0.3">
      <c r="B19" s="2">
        <v>1</v>
      </c>
      <c r="C19" s="2">
        <f>Исходные!D10*Исходные!E10</f>
        <v>45</v>
      </c>
      <c r="D19" s="2"/>
      <c r="E19" s="2">
        <v>1</v>
      </c>
      <c r="F19" s="2">
        <f>C19*E19</f>
        <v>45</v>
      </c>
      <c r="G19" s="2">
        <f>Исходные!D10*E19</f>
        <v>15</v>
      </c>
      <c r="H19" s="2">
        <f>IF(L19,G19,0)</f>
        <v>15</v>
      </c>
      <c r="I19" s="2">
        <f>IF(M19,G19,0)</f>
        <v>0</v>
      </c>
      <c r="J19" s="2"/>
      <c r="K19" s="2">
        <f>IF(N19,G19,0)</f>
        <v>0</v>
      </c>
      <c r="L19" s="2" t="b">
        <v>1</v>
      </c>
      <c r="M19" s="2" t="b">
        <v>0</v>
      </c>
      <c r="N19" s="2" t="b">
        <v>0</v>
      </c>
      <c r="O19" s="2" t="e">
        <f>Исходные!E10*Программа!W19*E19</f>
        <v>#DIV/0!</v>
      </c>
      <c r="P19" s="2"/>
      <c r="Q19" s="2">
        <f>G19</f>
        <v>15</v>
      </c>
      <c r="R19" s="2"/>
      <c r="S19" s="2"/>
      <c r="U19" s="1" t="e">
        <f>CEILING(Исходные!D10/Программа!$E$11,1)</f>
        <v>#DIV/0!</v>
      </c>
      <c r="V19" s="1" t="e">
        <f>U19-1</f>
        <v>#DIV/0!</v>
      </c>
      <c r="W19" s="1" t="e">
        <f>IF(V19&gt;0,V19,0)</f>
        <v>#DIV/0!</v>
      </c>
      <c r="Y19" s="1">
        <f>MAX(I19,K19)</f>
        <v>0</v>
      </c>
    </row>
    <row r="20" spans="1:25" x14ac:dyDescent="0.3">
      <c r="B20" s="2">
        <v>2</v>
      </c>
      <c r="C20" s="2">
        <f>Исходные!D11*Исходные!E11</f>
        <v>0</v>
      </c>
      <c r="D20" s="2"/>
      <c r="E20" s="2">
        <v>1</v>
      </c>
      <c r="F20" s="2">
        <f t="shared" ref="F20:F28" si="0">C20*E20</f>
        <v>0</v>
      </c>
      <c r="G20" s="2">
        <f>Исходные!D11*E20</f>
        <v>0</v>
      </c>
      <c r="H20" s="2">
        <f t="shared" ref="H20:H28" si="1">IF(L20,G20,0)</f>
        <v>0</v>
      </c>
      <c r="I20" s="2">
        <f t="shared" ref="I20:I28" si="2">IF(M20,G20,0)</f>
        <v>0</v>
      </c>
      <c r="J20" s="2"/>
      <c r="K20" s="2">
        <f t="shared" ref="K20:K28" si="3">IF(N20,G20,0)</f>
        <v>0</v>
      </c>
      <c r="L20" s="2" t="b">
        <v>1</v>
      </c>
      <c r="M20" s="2" t="b">
        <v>0</v>
      </c>
      <c r="N20" s="2" t="b">
        <v>0</v>
      </c>
      <c r="O20" s="2" t="e">
        <f>Исходные!E11*Программа!W20*E20</f>
        <v>#DIV/0!</v>
      </c>
      <c r="P20" s="2"/>
      <c r="Q20" s="2">
        <f t="shared" ref="Q20:Q28" si="4">G20</f>
        <v>0</v>
      </c>
      <c r="R20" s="2"/>
      <c r="S20" s="2"/>
      <c r="U20" s="1" t="e">
        <f>CEILING(Исходные!D11/Программа!$E$11,1)</f>
        <v>#DIV/0!</v>
      </c>
      <c r="V20" s="1" t="e">
        <f t="shared" ref="V20:V28" si="5">U20-1</f>
        <v>#DIV/0!</v>
      </c>
      <c r="W20" s="1" t="e">
        <f t="shared" ref="W20:W28" si="6">IF(V20&gt;0,V20,0)</f>
        <v>#DIV/0!</v>
      </c>
      <c r="Y20" s="1">
        <f t="shared" ref="Y20:Y28" si="7">MAX(I20,K20)</f>
        <v>0</v>
      </c>
    </row>
    <row r="21" spans="1:25" x14ac:dyDescent="0.3">
      <c r="B21" s="2">
        <v>3</v>
      </c>
      <c r="C21" s="2">
        <f>Исходные!D12*Исходные!E12</f>
        <v>0</v>
      </c>
      <c r="D21" s="2"/>
      <c r="E21" s="2">
        <v>1</v>
      </c>
      <c r="F21" s="2">
        <f t="shared" si="0"/>
        <v>0</v>
      </c>
      <c r="G21" s="2">
        <f>Исходные!D12*E21</f>
        <v>0</v>
      </c>
      <c r="H21" s="2">
        <f t="shared" si="1"/>
        <v>0</v>
      </c>
      <c r="I21" s="2">
        <f t="shared" si="2"/>
        <v>0</v>
      </c>
      <c r="J21" s="2"/>
      <c r="K21" s="2">
        <f t="shared" si="3"/>
        <v>0</v>
      </c>
      <c r="L21" s="2" t="b">
        <v>1</v>
      </c>
      <c r="M21" s="2" t="b">
        <v>0</v>
      </c>
      <c r="N21" s="2" t="b">
        <v>1</v>
      </c>
      <c r="O21" s="2" t="e">
        <f>Исходные!E12*Программа!W21*E21</f>
        <v>#DIV/0!</v>
      </c>
      <c r="P21" s="2"/>
      <c r="Q21" s="2">
        <f t="shared" si="4"/>
        <v>0</v>
      </c>
      <c r="R21" s="2"/>
      <c r="S21" s="2"/>
      <c r="U21" s="1" t="e">
        <f>CEILING(Исходные!D12/Программа!$E$11,1)</f>
        <v>#DIV/0!</v>
      </c>
      <c r="V21" s="1" t="e">
        <f t="shared" si="5"/>
        <v>#DIV/0!</v>
      </c>
      <c r="W21" s="1" t="e">
        <f t="shared" si="6"/>
        <v>#DIV/0!</v>
      </c>
      <c r="Y21" s="1">
        <f t="shared" si="7"/>
        <v>0</v>
      </c>
    </row>
    <row r="22" spans="1:25" x14ac:dyDescent="0.3">
      <c r="B22" s="2">
        <v>4</v>
      </c>
      <c r="C22" s="2">
        <f>Исходные!D13*Исходные!E13</f>
        <v>0</v>
      </c>
      <c r="D22" s="2"/>
      <c r="E22" s="2">
        <v>2</v>
      </c>
      <c r="F22" s="2">
        <f t="shared" si="0"/>
        <v>0</v>
      </c>
      <c r="G22" s="2">
        <f>Исходные!D13*E22</f>
        <v>0</v>
      </c>
      <c r="H22" s="2">
        <f t="shared" si="1"/>
        <v>0</v>
      </c>
      <c r="I22" s="2">
        <f t="shared" si="2"/>
        <v>0</v>
      </c>
      <c r="J22" s="2"/>
      <c r="K22" s="2">
        <f t="shared" si="3"/>
        <v>0</v>
      </c>
      <c r="L22" s="2" t="b">
        <v>1</v>
      </c>
      <c r="M22" s="2" t="b">
        <v>1</v>
      </c>
      <c r="N22" s="2" t="b">
        <v>0</v>
      </c>
      <c r="O22" s="2" t="e">
        <f>Исходные!E13*Программа!W22*E22</f>
        <v>#DIV/0!</v>
      </c>
      <c r="P22" s="2"/>
      <c r="Q22" s="2">
        <f t="shared" si="4"/>
        <v>0</v>
      </c>
      <c r="R22" s="2"/>
      <c r="S22" s="2"/>
      <c r="U22" s="1" t="e">
        <f>CEILING(Исходные!D13/Программа!$E$11,1)</f>
        <v>#DIV/0!</v>
      </c>
      <c r="V22" s="1" t="e">
        <f t="shared" si="5"/>
        <v>#DIV/0!</v>
      </c>
      <c r="W22" s="1" t="e">
        <f t="shared" si="6"/>
        <v>#DIV/0!</v>
      </c>
      <c r="Y22" s="1">
        <f t="shared" si="7"/>
        <v>0</v>
      </c>
    </row>
    <row r="23" spans="1:25" x14ac:dyDescent="0.3">
      <c r="B23" s="2">
        <v>5</v>
      </c>
      <c r="C23" s="2">
        <f>Исходные!D14*Исходные!E14</f>
        <v>0</v>
      </c>
      <c r="D23" s="2"/>
      <c r="E23" s="2">
        <v>2</v>
      </c>
      <c r="F23" s="2">
        <f t="shared" si="0"/>
        <v>0</v>
      </c>
      <c r="G23" s="2">
        <f>Исходные!D14*E23</f>
        <v>0</v>
      </c>
      <c r="H23" s="2">
        <f t="shared" si="1"/>
        <v>0</v>
      </c>
      <c r="I23" s="2">
        <f t="shared" si="2"/>
        <v>0</v>
      </c>
      <c r="J23" s="2"/>
      <c r="K23" s="2">
        <f t="shared" si="3"/>
        <v>0</v>
      </c>
      <c r="L23" s="2" t="b">
        <v>1</v>
      </c>
      <c r="M23" s="2" t="b">
        <v>1</v>
      </c>
      <c r="N23" s="2" t="b">
        <v>0</v>
      </c>
      <c r="O23" s="2" t="e">
        <f>Исходные!E14*Программа!W23*E23</f>
        <v>#DIV/0!</v>
      </c>
      <c r="P23" s="2"/>
      <c r="Q23" s="2">
        <f t="shared" si="4"/>
        <v>0</v>
      </c>
      <c r="R23" s="2"/>
      <c r="S23" s="2"/>
      <c r="U23" s="1" t="e">
        <f>CEILING(Исходные!D14/Программа!$E$11,1)</f>
        <v>#DIV/0!</v>
      </c>
      <c r="V23" s="1" t="e">
        <f t="shared" si="5"/>
        <v>#DIV/0!</v>
      </c>
      <c r="W23" s="1" t="e">
        <f t="shared" si="6"/>
        <v>#DIV/0!</v>
      </c>
      <c r="Y23" s="1">
        <f t="shared" si="7"/>
        <v>0</v>
      </c>
    </row>
    <row r="24" spans="1:25" x14ac:dyDescent="0.3">
      <c r="B24" s="2">
        <v>6</v>
      </c>
      <c r="C24" s="2">
        <f>Исходные!D15*Исходные!E15</f>
        <v>0</v>
      </c>
      <c r="D24" s="2"/>
      <c r="E24" s="2">
        <v>1</v>
      </c>
      <c r="F24" s="2">
        <f t="shared" si="0"/>
        <v>0</v>
      </c>
      <c r="G24" s="2">
        <f>Исходные!D15*E24</f>
        <v>0</v>
      </c>
      <c r="H24" s="2">
        <f t="shared" si="1"/>
        <v>0</v>
      </c>
      <c r="I24" s="2">
        <f t="shared" si="2"/>
        <v>0</v>
      </c>
      <c r="J24" s="2"/>
      <c r="K24" s="2">
        <f t="shared" si="3"/>
        <v>0</v>
      </c>
      <c r="L24" s="2" t="b">
        <v>1</v>
      </c>
      <c r="M24" s="2" t="b">
        <v>1</v>
      </c>
      <c r="N24" s="2" t="b">
        <v>0</v>
      </c>
      <c r="O24" s="2" t="e">
        <f>Исходные!E15*Программа!W24*E24</f>
        <v>#DIV/0!</v>
      </c>
      <c r="P24" s="2"/>
      <c r="Q24" s="2">
        <f t="shared" si="4"/>
        <v>0</v>
      </c>
      <c r="R24" s="2"/>
      <c r="S24" s="2"/>
      <c r="U24" s="1" t="e">
        <f>CEILING(Исходные!D15/Программа!$E$11,1)</f>
        <v>#DIV/0!</v>
      </c>
      <c r="V24" s="1" t="e">
        <f t="shared" si="5"/>
        <v>#DIV/0!</v>
      </c>
      <c r="W24" s="1" t="e">
        <f t="shared" si="6"/>
        <v>#DIV/0!</v>
      </c>
      <c r="Y24" s="1">
        <f t="shared" si="7"/>
        <v>0</v>
      </c>
    </row>
    <row r="25" spans="1:25" x14ac:dyDescent="0.3">
      <c r="B25" s="2">
        <v>7</v>
      </c>
      <c r="C25" s="2">
        <f>Исходные!D16*Исходные!E16</f>
        <v>0</v>
      </c>
      <c r="D25" s="2"/>
      <c r="E25" s="2">
        <v>1</v>
      </c>
      <c r="F25" s="2">
        <f t="shared" si="0"/>
        <v>0</v>
      </c>
      <c r="G25" s="2">
        <f>Исходные!D16*E25</f>
        <v>0</v>
      </c>
      <c r="H25" s="2">
        <f t="shared" si="1"/>
        <v>0</v>
      </c>
      <c r="I25" s="2">
        <f t="shared" si="2"/>
        <v>0</v>
      </c>
      <c r="J25" s="2"/>
      <c r="K25" s="2">
        <f t="shared" si="3"/>
        <v>0</v>
      </c>
      <c r="L25" s="2" t="b">
        <v>1</v>
      </c>
      <c r="M25" s="2" t="b">
        <v>1</v>
      </c>
      <c r="N25" s="2" t="b">
        <v>0</v>
      </c>
      <c r="O25" s="2" t="e">
        <f>Исходные!E16*Программа!W25*E25</f>
        <v>#DIV/0!</v>
      </c>
      <c r="P25" s="2"/>
      <c r="Q25" s="2">
        <f t="shared" si="4"/>
        <v>0</v>
      </c>
      <c r="R25" s="2"/>
      <c r="S25" s="2"/>
      <c r="U25" s="1" t="e">
        <f>CEILING(Исходные!D16/Программа!$E$11,1)</f>
        <v>#DIV/0!</v>
      </c>
      <c r="V25" s="1" t="e">
        <f t="shared" si="5"/>
        <v>#DIV/0!</v>
      </c>
      <c r="W25" s="1" t="e">
        <f t="shared" si="6"/>
        <v>#DIV/0!</v>
      </c>
      <c r="Y25" s="1">
        <f t="shared" si="7"/>
        <v>0</v>
      </c>
    </row>
    <row r="26" spans="1:25" x14ac:dyDescent="0.3">
      <c r="B26" s="2">
        <v>8</v>
      </c>
      <c r="C26" s="2">
        <f>Исходные!D17*Исходные!E17</f>
        <v>0</v>
      </c>
      <c r="D26" s="2"/>
      <c r="E26" s="2">
        <v>1</v>
      </c>
      <c r="F26" s="2">
        <f t="shared" si="0"/>
        <v>0</v>
      </c>
      <c r="G26" s="2">
        <f>Исходные!D17*E26</f>
        <v>0</v>
      </c>
      <c r="H26" s="2">
        <f t="shared" si="1"/>
        <v>0</v>
      </c>
      <c r="I26" s="2">
        <f t="shared" si="2"/>
        <v>0</v>
      </c>
      <c r="J26" s="2"/>
      <c r="K26" s="2">
        <f t="shared" si="3"/>
        <v>0</v>
      </c>
      <c r="L26" s="2" t="b">
        <v>1</v>
      </c>
      <c r="M26" s="2" t="b">
        <v>1</v>
      </c>
      <c r="N26" s="2" t="b">
        <v>0</v>
      </c>
      <c r="O26" s="2" t="e">
        <f>Исходные!E17*Программа!W26*E26</f>
        <v>#DIV/0!</v>
      </c>
      <c r="P26" s="2"/>
      <c r="Q26" s="2">
        <f t="shared" si="4"/>
        <v>0</v>
      </c>
      <c r="R26" s="2"/>
      <c r="S26" s="2"/>
      <c r="U26" s="1" t="e">
        <f>CEILING(Исходные!D17/Программа!$E$11,1)</f>
        <v>#DIV/0!</v>
      </c>
      <c r="V26" s="1" t="e">
        <f t="shared" si="5"/>
        <v>#DIV/0!</v>
      </c>
      <c r="W26" s="1" t="e">
        <f t="shared" si="6"/>
        <v>#DIV/0!</v>
      </c>
      <c r="Y26" s="1">
        <f t="shared" si="7"/>
        <v>0</v>
      </c>
    </row>
    <row r="27" spans="1:25" x14ac:dyDescent="0.3">
      <c r="B27" s="2">
        <v>9</v>
      </c>
      <c r="C27" s="2">
        <f>Исходные!D18*Исходные!E18</f>
        <v>0</v>
      </c>
      <c r="D27" s="2"/>
      <c r="E27" s="2">
        <v>1</v>
      </c>
      <c r="F27" s="2">
        <f t="shared" si="0"/>
        <v>0</v>
      </c>
      <c r="G27" s="2">
        <f>Исходные!D18*E27</f>
        <v>0</v>
      </c>
      <c r="H27" s="2">
        <f t="shared" si="1"/>
        <v>0</v>
      </c>
      <c r="I27" s="2">
        <f t="shared" si="2"/>
        <v>0</v>
      </c>
      <c r="J27" s="2"/>
      <c r="K27" s="2">
        <f t="shared" si="3"/>
        <v>0</v>
      </c>
      <c r="L27" s="2" t="b">
        <v>1</v>
      </c>
      <c r="M27" s="2" t="b">
        <v>1</v>
      </c>
      <c r="N27" s="2" t="b">
        <v>0</v>
      </c>
      <c r="O27" s="2" t="e">
        <f>Исходные!E18*Программа!W27*E27</f>
        <v>#DIV/0!</v>
      </c>
      <c r="P27" s="2"/>
      <c r="Q27" s="2">
        <f t="shared" si="4"/>
        <v>0</v>
      </c>
      <c r="R27" s="2"/>
      <c r="S27" s="2"/>
      <c r="U27" s="1" t="e">
        <f>CEILING(Исходные!D18/Программа!$E$11,1)</f>
        <v>#DIV/0!</v>
      </c>
      <c r="V27" s="1" t="e">
        <f t="shared" si="5"/>
        <v>#DIV/0!</v>
      </c>
      <c r="W27" s="1" t="e">
        <f t="shared" si="6"/>
        <v>#DIV/0!</v>
      </c>
      <c r="Y27" s="1">
        <f t="shared" si="7"/>
        <v>0</v>
      </c>
    </row>
    <row r="28" spans="1:25" ht="18.600000000000001" thickBot="1" x14ac:dyDescent="0.35">
      <c r="B28" s="2">
        <v>10</v>
      </c>
      <c r="C28" s="2">
        <f>Исходные!D19*Исходные!E19</f>
        <v>0</v>
      </c>
      <c r="D28" s="2"/>
      <c r="E28" s="2">
        <v>1</v>
      </c>
      <c r="F28" s="6">
        <f t="shared" si="0"/>
        <v>0</v>
      </c>
      <c r="G28" s="2">
        <f>Исходные!D19*E28</f>
        <v>0</v>
      </c>
      <c r="H28" s="2">
        <f t="shared" si="1"/>
        <v>0</v>
      </c>
      <c r="I28" s="2">
        <f t="shared" si="2"/>
        <v>0</v>
      </c>
      <c r="J28" s="2"/>
      <c r="K28" s="2">
        <f t="shared" si="3"/>
        <v>0</v>
      </c>
      <c r="L28" s="2" t="b">
        <v>1</v>
      </c>
      <c r="M28" s="2" t="b">
        <v>1</v>
      </c>
      <c r="N28" s="2" t="b">
        <v>0</v>
      </c>
      <c r="O28" s="2" t="e">
        <f>Исходные!E19*Программа!W28*E28</f>
        <v>#DIV/0!</v>
      </c>
      <c r="P28" s="2"/>
      <c r="Q28" s="2">
        <f t="shared" si="4"/>
        <v>0</v>
      </c>
      <c r="R28" s="2"/>
      <c r="S28" s="2"/>
      <c r="U28" s="1" t="e">
        <f>CEILING(Исходные!D19/Программа!$E$11,1)</f>
        <v>#DIV/0!</v>
      </c>
      <c r="V28" s="1" t="e">
        <f t="shared" si="5"/>
        <v>#DIV/0!</v>
      </c>
      <c r="W28" s="1" t="e">
        <f t="shared" si="6"/>
        <v>#DIV/0!</v>
      </c>
      <c r="Y28" s="1">
        <f t="shared" si="7"/>
        <v>0</v>
      </c>
    </row>
    <row r="29" spans="1:25" ht="18.600000000000001" thickBot="1" x14ac:dyDescent="0.35">
      <c r="F29" s="25">
        <f>SUM(F19:F28)</f>
        <v>45</v>
      </c>
      <c r="H29" s="25">
        <f>SUM(H19:H28)</f>
        <v>15</v>
      </c>
      <c r="I29" s="25">
        <f t="shared" ref="I29:K29" si="8">SUM(I19:I28)</f>
        <v>0</v>
      </c>
      <c r="J29" s="25"/>
      <c r="K29" s="25">
        <f t="shared" si="8"/>
        <v>0</v>
      </c>
      <c r="O29" s="7" t="e">
        <f>SUM(O19:O28)</f>
        <v>#DIV/0!</v>
      </c>
      <c r="P29" s="1" t="b">
        <v>0</v>
      </c>
      <c r="Q29" s="7">
        <f>IF($S$29,SUM(Q19:Q28),0)</f>
        <v>0</v>
      </c>
      <c r="R29" s="64"/>
      <c r="S29" s="1" t="b">
        <v>0</v>
      </c>
      <c r="Y29" s="54">
        <f>SUM(Y19:Y28)</f>
        <v>0</v>
      </c>
    </row>
    <row r="31" spans="1:25" x14ac:dyDescent="0.3">
      <c r="A31" s="5">
        <v>2</v>
      </c>
      <c r="B31" s="71" t="s">
        <v>32</v>
      </c>
      <c r="C31" s="71"/>
      <c r="D31" s="70"/>
      <c r="E31" s="70"/>
      <c r="F31" s="70"/>
    </row>
    <row r="32" spans="1:25" ht="54" x14ac:dyDescent="0.3">
      <c r="B32" s="2" t="s">
        <v>3</v>
      </c>
      <c r="C32" s="2" t="s">
        <v>33</v>
      </c>
      <c r="D32" s="2"/>
      <c r="E32" s="2" t="s">
        <v>34</v>
      </c>
      <c r="F32" s="2" t="s">
        <v>35</v>
      </c>
      <c r="G32" s="2" t="s">
        <v>36</v>
      </c>
      <c r="H32" s="2" t="s">
        <v>2</v>
      </c>
      <c r="I32" s="2" t="s">
        <v>37</v>
      </c>
      <c r="J32" s="2"/>
      <c r="K32" s="2" t="s">
        <v>38</v>
      </c>
      <c r="L32" s="2" t="s">
        <v>79</v>
      </c>
      <c r="M32" s="2" t="s">
        <v>21</v>
      </c>
      <c r="O32" s="1" t="s">
        <v>91</v>
      </c>
      <c r="P32" s="1" t="s">
        <v>76</v>
      </c>
      <c r="Q32" s="1" t="s">
        <v>77</v>
      </c>
      <c r="V32" s="1" t="s">
        <v>83</v>
      </c>
      <c r="W32" s="1" t="s">
        <v>80</v>
      </c>
      <c r="X32" s="1" t="s">
        <v>81</v>
      </c>
      <c r="Y32" s="1" t="s">
        <v>82</v>
      </c>
    </row>
    <row r="33" spans="1:25" x14ac:dyDescent="0.3">
      <c r="B33" s="2">
        <v>1</v>
      </c>
      <c r="C33" s="2">
        <f>Исходные!D26/2*Исходные!E26</f>
        <v>0</v>
      </c>
      <c r="D33" s="2"/>
      <c r="E33" s="2">
        <f>(Исходные!D26+Исходные!F26)/2*Исходные!G26</f>
        <v>0</v>
      </c>
      <c r="F33" s="9">
        <f>SQRT((Исходные!D26/2)^2+Исходные!E26^2)*2</f>
        <v>0</v>
      </c>
      <c r="G33" s="9">
        <f>SQRT(((Исходные!F26-Исходные!D26)/2)^2+Исходные!G26^2)*2</f>
        <v>0</v>
      </c>
      <c r="H33" s="2">
        <v>1</v>
      </c>
      <c r="I33" s="2">
        <f>(C33+E33)*H33</f>
        <v>0</v>
      </c>
      <c r="J33" s="2"/>
      <c r="K33" s="9">
        <f>((F33+IF(Исходные!F26=0,0,Программа!G33))*H33)</f>
        <v>0</v>
      </c>
      <c r="L33" s="9">
        <f>IF(N33=FALSE,0,K33)</f>
        <v>0</v>
      </c>
      <c r="M33" s="9">
        <f>IF(N33=FALSE,K33,0)</f>
        <v>0</v>
      </c>
      <c r="N33" s="1" t="b">
        <v>0</v>
      </c>
      <c r="P33" s="34" t="e">
        <f>W38+X38</f>
        <v>#DIV/0!</v>
      </c>
      <c r="Q33" s="34">
        <f>IF(S33=FALSE,0,T38)</f>
        <v>0</v>
      </c>
      <c r="R33" s="43"/>
      <c r="S33" s="1" t="b">
        <v>0</v>
      </c>
      <c r="T33" s="1">
        <f>IF(Исходные!F26&gt;0,Исходные!F26,Исходные!D26)*H33</f>
        <v>0</v>
      </c>
      <c r="V33" s="1" t="e">
        <f>CEILING(Исходные!D26/Программа!$E$11,1)</f>
        <v>#DIV/0!</v>
      </c>
      <c r="W33" s="1" t="e">
        <f>IF(V33=0,0,IF(V33=EVEN(V33),Исходные!E26*(Программа!V33)/2,Исходные!E26*(Программа!V33-1)*(Программа!V33+1)/2/Программа!V33))*H33</f>
        <v>#DIV/0!</v>
      </c>
      <c r="X33" s="1" t="e">
        <f>(Y33-1)*Исходные!G26*H33</f>
        <v>#DIV/0!</v>
      </c>
      <c r="Y33" s="1" t="e">
        <f>CEILING(Исходные!F26/Программа!$E$11,1)</f>
        <v>#DIV/0!</v>
      </c>
    </row>
    <row r="34" spans="1:25" x14ac:dyDescent="0.3">
      <c r="B34" s="2">
        <v>2</v>
      </c>
      <c r="C34" s="2">
        <f>Исходные!D27/2*Исходные!E27</f>
        <v>0</v>
      </c>
      <c r="D34" s="2"/>
      <c r="E34" s="2">
        <f>(Исходные!D27+Исходные!F27)/2*Исходные!G27</f>
        <v>0</v>
      </c>
      <c r="F34" s="9">
        <f>SQRT((Исходные!D27/2)^2+Исходные!E27^2)*2</f>
        <v>0</v>
      </c>
      <c r="G34" s="9">
        <f>SQRT(((Исходные!F27-Исходные!D27)/2)^2+Исходные!G27^2)*2</f>
        <v>0</v>
      </c>
      <c r="H34" s="2">
        <v>1</v>
      </c>
      <c r="I34" s="2">
        <f t="shared" ref="I34:I37" si="9">(C34+E34)*H34</f>
        <v>0</v>
      </c>
      <c r="J34" s="2"/>
      <c r="K34" s="9">
        <f>((F34+IF(Исходные!F27=0,0,Программа!G34))*H34)</f>
        <v>0</v>
      </c>
      <c r="L34" s="9">
        <f t="shared" ref="L34:L37" si="10">IF(N34=FALSE,0,K34)</f>
        <v>0</v>
      </c>
      <c r="M34" s="9">
        <f t="shared" ref="M34:M37" si="11">IF(N34=FALSE,K34,0)</f>
        <v>0</v>
      </c>
      <c r="N34" s="1" t="b">
        <v>0</v>
      </c>
      <c r="S34" s="1" t="b">
        <f>S33</f>
        <v>0</v>
      </c>
      <c r="T34" s="1">
        <f>IF(Исходные!F27&gt;0,Исходные!F27,Исходные!D27)*H34</f>
        <v>0</v>
      </c>
      <c r="V34" s="1" t="e">
        <f>CEILING(Исходные!D27/Программа!$E$11,1)</f>
        <v>#DIV/0!</v>
      </c>
      <c r="W34" s="1" t="e">
        <f>IF(V34=0,0,IF(V34=EVEN(V34),Исходные!E27*(Программа!V34)/2,Исходные!E27*(Программа!V34-1)*(Программа!V34+1)/2/Программа!V34))*H34</f>
        <v>#DIV/0!</v>
      </c>
      <c r="X34" s="1" t="e">
        <f>(Y34-1)*Исходные!G27*H34</f>
        <v>#DIV/0!</v>
      </c>
      <c r="Y34" s="1" t="e">
        <f>CEILING(Исходные!F27/Программа!$E$11,1)</f>
        <v>#DIV/0!</v>
      </c>
    </row>
    <row r="35" spans="1:25" x14ac:dyDescent="0.3">
      <c r="B35" s="2">
        <v>3</v>
      </c>
      <c r="C35" s="2">
        <f>Исходные!D28/2*Исходные!E28</f>
        <v>0</v>
      </c>
      <c r="D35" s="2"/>
      <c r="E35" s="2">
        <f>(Исходные!D28+Исходные!F28)/2*Исходные!G28</f>
        <v>0</v>
      </c>
      <c r="F35" s="9">
        <f>SQRT((Исходные!D28/2)^2+Исходные!E28^2)*2</f>
        <v>0</v>
      </c>
      <c r="G35" s="9">
        <f>SQRT(((Исходные!F28-Исходные!D28)/2)^2+Исходные!G28^2)*2</f>
        <v>0</v>
      </c>
      <c r="H35" s="2">
        <v>1</v>
      </c>
      <c r="I35" s="2">
        <f t="shared" si="9"/>
        <v>0</v>
      </c>
      <c r="J35" s="2"/>
      <c r="K35" s="9">
        <f>((F35+IF(Исходные!F28=0,0,Программа!G35))*H35)</f>
        <v>0</v>
      </c>
      <c r="L35" s="9">
        <f t="shared" si="10"/>
        <v>0</v>
      </c>
      <c r="M35" s="9">
        <f t="shared" si="11"/>
        <v>0</v>
      </c>
      <c r="N35" s="1" t="b">
        <v>0</v>
      </c>
      <c r="S35" s="1" t="b">
        <f>S33</f>
        <v>0</v>
      </c>
      <c r="T35" s="1">
        <f>IF(Исходные!F28&gt;0,Исходные!F28,Исходные!D28)*H35</f>
        <v>0</v>
      </c>
      <c r="V35" s="1" t="e">
        <f>CEILING(Исходные!D28/Программа!$E$11,1)</f>
        <v>#DIV/0!</v>
      </c>
      <c r="W35" s="1" t="e">
        <f>IF(V35=0,0,IF(V35=EVEN(V35),Исходные!E28*(Программа!V35)/2,Исходные!E28*(Программа!V35-1)*(Программа!V35+1)/2/Программа!V35))*H35</f>
        <v>#DIV/0!</v>
      </c>
      <c r="X35" s="1" t="e">
        <f>(Y35-1)*Исходные!G28*H35</f>
        <v>#DIV/0!</v>
      </c>
      <c r="Y35" s="1" t="e">
        <f>CEILING(Исходные!F28/Программа!$E$11,1)</f>
        <v>#DIV/0!</v>
      </c>
    </row>
    <row r="36" spans="1:25" x14ac:dyDescent="0.3">
      <c r="B36" s="2">
        <v>4</v>
      </c>
      <c r="C36" s="2">
        <f>Исходные!D29/2*Исходные!E29</f>
        <v>0</v>
      </c>
      <c r="D36" s="2"/>
      <c r="E36" s="2">
        <f>(Исходные!D29+Исходные!F29)/2*Исходные!G29</f>
        <v>0</v>
      </c>
      <c r="F36" s="9">
        <f>SQRT((Исходные!D29/2)^2+Исходные!E29^2)*2</f>
        <v>0</v>
      </c>
      <c r="G36" s="9">
        <f>SQRT(((Исходные!F29-Исходные!D29)/2)^2+Исходные!G29^2)*2</f>
        <v>0</v>
      </c>
      <c r="H36" s="2">
        <v>1</v>
      </c>
      <c r="I36" s="2">
        <f t="shared" si="9"/>
        <v>0</v>
      </c>
      <c r="J36" s="2"/>
      <c r="K36" s="9">
        <f>((F36+IF(Исходные!F29=0,0,Программа!G36))*H36)</f>
        <v>0</v>
      </c>
      <c r="L36" s="9">
        <f t="shared" si="10"/>
        <v>0</v>
      </c>
      <c r="M36" s="9">
        <f t="shared" si="11"/>
        <v>0</v>
      </c>
      <c r="N36" s="1" t="b">
        <v>1</v>
      </c>
      <c r="S36" s="1" t="b">
        <f>S33</f>
        <v>0</v>
      </c>
      <c r="T36" s="1">
        <f>IF(Исходные!F29&gt;0,Исходные!F29,Исходные!D29)*H36</f>
        <v>0</v>
      </c>
      <c r="V36" s="1" t="e">
        <f>CEILING(Исходные!D29/Программа!$E$11,1)</f>
        <v>#DIV/0!</v>
      </c>
      <c r="W36" s="1" t="e">
        <f>IF(V36=0,0,IF(V36=EVEN(V36),Исходные!E29*(Программа!V36)/2,Исходные!E29*(Программа!V36-1)*(Программа!V36+1)/2/Программа!V36))*H36</f>
        <v>#DIV/0!</v>
      </c>
      <c r="X36" s="1" t="e">
        <f>(Y36-1)*Исходные!G29*H36</f>
        <v>#DIV/0!</v>
      </c>
      <c r="Y36" s="1" t="e">
        <f>CEILING(Исходные!F29/Программа!$E$11,1)</f>
        <v>#DIV/0!</v>
      </c>
    </row>
    <row r="37" spans="1:25" ht="18.600000000000001" thickBot="1" x14ac:dyDescent="0.35">
      <c r="B37" s="2">
        <v>5</v>
      </c>
      <c r="C37" s="2">
        <f>Исходные!D30/2*Исходные!E30</f>
        <v>0</v>
      </c>
      <c r="D37" s="2"/>
      <c r="E37" s="2">
        <f>(Исходные!D30+Исходные!F30)/2*Исходные!G30</f>
        <v>0</v>
      </c>
      <c r="F37" s="9">
        <f>SQRT((Исходные!D30/2)^2+Исходные!E30^2)*2</f>
        <v>0</v>
      </c>
      <c r="G37" s="9">
        <f>SQRT(((Исходные!F30-Исходные!D30)/2)^2+Исходные!G30^2)*2</f>
        <v>0</v>
      </c>
      <c r="H37" s="2">
        <v>1</v>
      </c>
      <c r="I37" s="2">
        <f t="shared" si="9"/>
        <v>0</v>
      </c>
      <c r="J37" s="2"/>
      <c r="K37" s="9">
        <f>((F37+IF(Исходные!F30=0,0,Программа!G37))*H37)</f>
        <v>0</v>
      </c>
      <c r="L37" s="9">
        <f t="shared" si="10"/>
        <v>0</v>
      </c>
      <c r="M37" s="9">
        <f t="shared" si="11"/>
        <v>0</v>
      </c>
      <c r="N37" s="1" t="b">
        <v>1</v>
      </c>
      <c r="S37" s="1" t="b">
        <f>S33</f>
        <v>0</v>
      </c>
      <c r="T37" s="1">
        <f>IF(Исходные!F30&gt;0,Исходные!F30,Исходные!D30)*H37</f>
        <v>0</v>
      </c>
      <c r="V37" s="1" t="e">
        <f>CEILING(Исходные!D30/Программа!$E$11,1)</f>
        <v>#DIV/0!</v>
      </c>
      <c r="W37" s="1" t="e">
        <f>IF(V37=0,0,IF(V37=EVEN(V37),Исходные!E30*(Программа!V37)/2,Исходные!E30*(Программа!V37-1)*(Программа!V37+1)/2/Программа!V37))*H37</f>
        <v>#DIV/0!</v>
      </c>
      <c r="X37" s="1" t="e">
        <f>(Y37-1)*Исходные!G30*H37</f>
        <v>#DIV/0!</v>
      </c>
      <c r="Y37" s="1" t="e">
        <f>CEILING(Исходные!F30/Программа!$E$11,1)</f>
        <v>#DIV/0!</v>
      </c>
    </row>
    <row r="38" spans="1:25" ht="18.600000000000001" thickBot="1" x14ac:dyDescent="0.35">
      <c r="F38" s="11"/>
      <c r="G38" s="11"/>
      <c r="I38" s="7">
        <f>SUM(I33:I37)</f>
        <v>0</v>
      </c>
      <c r="J38" s="64"/>
      <c r="K38" s="11"/>
      <c r="L38" s="25">
        <f>SUM(L33:L37)</f>
        <v>0</v>
      </c>
      <c r="M38" s="7">
        <f>SUM(M33:M37)</f>
        <v>0</v>
      </c>
      <c r="O38" s="44">
        <f>L38+M38</f>
        <v>0</v>
      </c>
      <c r="T38" s="1">
        <f>SUM(T33:T37)</f>
        <v>0</v>
      </c>
      <c r="W38" s="1" t="e">
        <f>SUM(W33:W37)</f>
        <v>#DIV/0!</v>
      </c>
      <c r="X38" s="1" t="e">
        <f>SUM(X33:X37)</f>
        <v>#DIV/0!</v>
      </c>
    </row>
    <row r="40" spans="1:25" x14ac:dyDescent="0.3">
      <c r="A40" s="5">
        <v>3</v>
      </c>
      <c r="B40" s="71" t="s">
        <v>7</v>
      </c>
      <c r="C40" s="71"/>
      <c r="D40" s="70"/>
      <c r="E40" s="70"/>
      <c r="F40" s="70"/>
    </row>
    <row r="41" spans="1:25" ht="36" x14ac:dyDescent="0.3">
      <c r="B41" s="2" t="s">
        <v>3</v>
      </c>
      <c r="C41" s="2" t="s">
        <v>8</v>
      </c>
      <c r="D41" s="2"/>
      <c r="E41" s="2" t="s">
        <v>9</v>
      </c>
      <c r="F41" s="2" t="s">
        <v>2</v>
      </c>
      <c r="G41" s="2" t="s">
        <v>10</v>
      </c>
      <c r="H41" s="2" t="s">
        <v>11</v>
      </c>
      <c r="I41" s="2" t="s">
        <v>22</v>
      </c>
      <c r="J41" s="2"/>
      <c r="K41" s="2" t="s">
        <v>21</v>
      </c>
      <c r="L41" s="2" t="s">
        <v>23</v>
      </c>
      <c r="M41" s="2" t="s">
        <v>52</v>
      </c>
      <c r="N41" s="2" t="s">
        <v>23</v>
      </c>
      <c r="O41" s="30" t="s">
        <v>59</v>
      </c>
      <c r="P41" s="2" t="s">
        <v>90</v>
      </c>
      <c r="Q41" s="1" t="s">
        <v>91</v>
      </c>
      <c r="S41" s="1" t="s">
        <v>157</v>
      </c>
      <c r="T41" s="1" t="s">
        <v>158</v>
      </c>
      <c r="V41" s="1" t="s">
        <v>159</v>
      </c>
      <c r="W41" s="1" t="s">
        <v>160</v>
      </c>
    </row>
    <row r="42" spans="1:25" x14ac:dyDescent="0.3">
      <c r="B42" s="2">
        <v>1</v>
      </c>
      <c r="C42" s="2">
        <f>Исходные!D34*Исходные!E34</f>
        <v>0</v>
      </c>
      <c r="D42" s="2"/>
      <c r="E42" s="2">
        <f>(Исходные!D34+Исходные!E34)*2</f>
        <v>0</v>
      </c>
      <c r="F42" s="2">
        <v>1</v>
      </c>
      <c r="G42" s="2">
        <f t="shared" ref="G42:G50" si="12">C42*F42</f>
        <v>0</v>
      </c>
      <c r="H42" s="2">
        <f>E42*F42</f>
        <v>0</v>
      </c>
      <c r="I42" s="2">
        <f>IF(L42,0,H42)</f>
        <v>0</v>
      </c>
      <c r="J42" s="2"/>
      <c r="K42" s="2">
        <f>IF(L42,H42,0)</f>
        <v>0</v>
      </c>
      <c r="L42" s="2" t="b">
        <v>0</v>
      </c>
      <c r="M42" s="2">
        <f>IF(N42,Исходные!D34,0)</f>
        <v>0</v>
      </c>
      <c r="N42" s="2" t="b">
        <v>0</v>
      </c>
      <c r="O42" s="30"/>
      <c r="P42" s="2">
        <f>IF(L42=FALSE,H42,0)</f>
        <v>0</v>
      </c>
      <c r="S42" s="1">
        <f>W42*F42</f>
        <v>0</v>
      </c>
      <c r="T42" s="1">
        <f>W42*F42</f>
        <v>0</v>
      </c>
      <c r="V42" s="1">
        <f>Исходные!D34</f>
        <v>0</v>
      </c>
      <c r="W42" s="1">
        <f>Исходные!E34</f>
        <v>0</v>
      </c>
    </row>
    <row r="43" spans="1:25" x14ac:dyDescent="0.3">
      <c r="B43" s="2">
        <v>2</v>
      </c>
      <c r="C43" s="2">
        <f>Исходные!D35*Исходные!E35</f>
        <v>0</v>
      </c>
      <c r="D43" s="2"/>
      <c r="E43" s="2">
        <f>(Исходные!D35+Исходные!E35)*2</f>
        <v>0</v>
      </c>
      <c r="F43" s="2">
        <v>1</v>
      </c>
      <c r="G43" s="2">
        <f t="shared" si="12"/>
        <v>0</v>
      </c>
      <c r="H43" s="2">
        <f t="shared" ref="H43:H51" si="13">E43*F43</f>
        <v>0</v>
      </c>
      <c r="I43" s="2">
        <f t="shared" ref="I43:I51" si="14">IF(L43,0,H43)</f>
        <v>0</v>
      </c>
      <c r="J43" s="2"/>
      <c r="K43" s="2">
        <f t="shared" ref="K43:K51" si="15">IF(L43,H43,0)</f>
        <v>0</v>
      </c>
      <c r="L43" s="2" t="b">
        <v>0</v>
      </c>
      <c r="M43" s="2">
        <f>IF(N43,Исходные!D35,0)</f>
        <v>0</v>
      </c>
      <c r="N43" s="2" t="b">
        <v>0</v>
      </c>
      <c r="O43" s="30"/>
      <c r="P43" s="2">
        <f t="shared" ref="P43:P51" si="16">IF(L43=FALSE,H43,0)</f>
        <v>0</v>
      </c>
      <c r="S43" s="1">
        <f t="shared" ref="S43:S51" si="17">W43*F43</f>
        <v>0</v>
      </c>
      <c r="T43" s="1">
        <f t="shared" ref="T43:T51" si="18">W43*F43</f>
        <v>0</v>
      </c>
      <c r="V43" s="1">
        <f>Исходные!D35</f>
        <v>0</v>
      </c>
      <c r="W43" s="1">
        <f>Исходные!E35</f>
        <v>0</v>
      </c>
    </row>
    <row r="44" spans="1:25" x14ac:dyDescent="0.3">
      <c r="B44" s="2">
        <v>3</v>
      </c>
      <c r="C44" s="2">
        <f>Исходные!D36*Исходные!E36</f>
        <v>0</v>
      </c>
      <c r="D44" s="2"/>
      <c r="E44" s="2">
        <f>(Исходные!D36+Исходные!E36)*2</f>
        <v>0</v>
      </c>
      <c r="F44" s="2">
        <v>1</v>
      </c>
      <c r="G44" s="2">
        <f t="shared" si="12"/>
        <v>0</v>
      </c>
      <c r="H44" s="2">
        <f t="shared" si="13"/>
        <v>0</v>
      </c>
      <c r="I44" s="2">
        <f t="shared" si="14"/>
        <v>0</v>
      </c>
      <c r="J44" s="2"/>
      <c r="K44" s="2">
        <f t="shared" si="15"/>
        <v>0</v>
      </c>
      <c r="L44" s="2" t="b">
        <v>0</v>
      </c>
      <c r="M44" s="2">
        <f>IF(N44,Исходные!D36,0)</f>
        <v>0</v>
      </c>
      <c r="N44" s="2" t="b">
        <v>0</v>
      </c>
      <c r="O44" s="30"/>
      <c r="P44" s="2">
        <f t="shared" si="16"/>
        <v>0</v>
      </c>
      <c r="S44" s="1">
        <f t="shared" si="17"/>
        <v>0</v>
      </c>
      <c r="T44" s="1">
        <f t="shared" si="18"/>
        <v>0</v>
      </c>
      <c r="V44" s="1">
        <f>Исходные!D36</f>
        <v>0</v>
      </c>
      <c r="W44" s="1">
        <f>Исходные!E36</f>
        <v>0</v>
      </c>
    </row>
    <row r="45" spans="1:25" x14ac:dyDescent="0.3">
      <c r="B45" s="2">
        <v>4</v>
      </c>
      <c r="C45" s="2">
        <f>Исходные!D37*Исходные!E37</f>
        <v>0</v>
      </c>
      <c r="D45" s="2"/>
      <c r="E45" s="2">
        <f>(Исходные!D37+Исходные!E37)*2</f>
        <v>0</v>
      </c>
      <c r="F45" s="2">
        <v>2</v>
      </c>
      <c r="G45" s="2">
        <f t="shared" si="12"/>
        <v>0</v>
      </c>
      <c r="H45" s="2">
        <f t="shared" si="13"/>
        <v>0</v>
      </c>
      <c r="I45" s="2">
        <f t="shared" si="14"/>
        <v>0</v>
      </c>
      <c r="J45" s="2"/>
      <c r="K45" s="2">
        <f t="shared" si="15"/>
        <v>0</v>
      </c>
      <c r="L45" s="2" t="b">
        <v>0</v>
      </c>
      <c r="M45" s="2">
        <f>IF(N45,Исходные!D37,0)</f>
        <v>0</v>
      </c>
      <c r="N45" s="2" t="b">
        <v>0</v>
      </c>
      <c r="O45" s="30"/>
      <c r="P45" s="2">
        <f t="shared" si="16"/>
        <v>0</v>
      </c>
      <c r="S45" s="1">
        <f t="shared" si="17"/>
        <v>0</v>
      </c>
      <c r="T45" s="1">
        <f t="shared" si="18"/>
        <v>0</v>
      </c>
      <c r="V45" s="1">
        <f>Исходные!D37</f>
        <v>0</v>
      </c>
      <c r="W45" s="1">
        <f>Исходные!E37</f>
        <v>0</v>
      </c>
    </row>
    <row r="46" spans="1:25" x14ac:dyDescent="0.3">
      <c r="B46" s="2">
        <v>5</v>
      </c>
      <c r="C46" s="2">
        <f>Исходные!D38*Исходные!E38</f>
        <v>0</v>
      </c>
      <c r="D46" s="2"/>
      <c r="E46" s="2">
        <f>(Исходные!D38+Исходные!E38)*2</f>
        <v>0</v>
      </c>
      <c r="F46" s="2">
        <v>2</v>
      </c>
      <c r="G46" s="2">
        <f t="shared" si="12"/>
        <v>0</v>
      </c>
      <c r="H46" s="2">
        <f t="shared" si="13"/>
        <v>0</v>
      </c>
      <c r="I46" s="2">
        <f t="shared" si="14"/>
        <v>0</v>
      </c>
      <c r="J46" s="2"/>
      <c r="K46" s="2">
        <f t="shared" si="15"/>
        <v>0</v>
      </c>
      <c r="L46" s="2" t="b">
        <v>0</v>
      </c>
      <c r="M46" s="2">
        <f>IF(N46,Исходные!D38,0)</f>
        <v>0</v>
      </c>
      <c r="N46" s="2" t="b">
        <v>0</v>
      </c>
      <c r="O46" s="30"/>
      <c r="P46" s="2">
        <f t="shared" si="16"/>
        <v>0</v>
      </c>
      <c r="S46" s="1">
        <f t="shared" si="17"/>
        <v>0</v>
      </c>
      <c r="T46" s="1">
        <f t="shared" si="18"/>
        <v>0</v>
      </c>
      <c r="V46" s="1">
        <f>Исходные!D38</f>
        <v>0</v>
      </c>
      <c r="W46" s="1">
        <f>Исходные!E38</f>
        <v>0</v>
      </c>
    </row>
    <row r="47" spans="1:25" x14ac:dyDescent="0.3">
      <c r="B47" s="2">
        <v>6</v>
      </c>
      <c r="C47" s="2">
        <f>Исходные!D39*Исходные!E39</f>
        <v>0</v>
      </c>
      <c r="D47" s="2"/>
      <c r="E47" s="2">
        <f>(Исходные!D39+Исходные!E39)*2</f>
        <v>0</v>
      </c>
      <c r="F47" s="2">
        <v>2</v>
      </c>
      <c r="G47" s="2">
        <f t="shared" si="12"/>
        <v>0</v>
      </c>
      <c r="H47" s="2">
        <f t="shared" si="13"/>
        <v>0</v>
      </c>
      <c r="I47" s="2">
        <f t="shared" si="14"/>
        <v>0</v>
      </c>
      <c r="J47" s="2"/>
      <c r="K47" s="2">
        <f t="shared" si="15"/>
        <v>0</v>
      </c>
      <c r="L47" s="2" t="b">
        <v>0</v>
      </c>
      <c r="M47" s="2">
        <f>IF(N47,Исходные!D39,0)</f>
        <v>0</v>
      </c>
      <c r="N47" s="2" t="b">
        <v>0</v>
      </c>
      <c r="O47" s="30"/>
      <c r="P47" s="2">
        <f t="shared" si="16"/>
        <v>0</v>
      </c>
      <c r="S47" s="1">
        <f t="shared" si="17"/>
        <v>0</v>
      </c>
      <c r="T47" s="1">
        <f t="shared" si="18"/>
        <v>0</v>
      </c>
      <c r="V47" s="1">
        <f>Исходные!D39</f>
        <v>0</v>
      </c>
      <c r="W47" s="1">
        <f>Исходные!E39</f>
        <v>0</v>
      </c>
    </row>
    <row r="48" spans="1:25" x14ac:dyDescent="0.3">
      <c r="B48" s="2">
        <v>7</v>
      </c>
      <c r="C48" s="2">
        <f>Исходные!D40*Исходные!E40</f>
        <v>0</v>
      </c>
      <c r="D48" s="2"/>
      <c r="E48" s="2">
        <f>(Исходные!D40+Исходные!E40)*2</f>
        <v>0</v>
      </c>
      <c r="F48" s="2">
        <v>1</v>
      </c>
      <c r="G48" s="2">
        <f t="shared" si="12"/>
        <v>0</v>
      </c>
      <c r="H48" s="2">
        <f t="shared" si="13"/>
        <v>0</v>
      </c>
      <c r="I48" s="2">
        <f t="shared" si="14"/>
        <v>0</v>
      </c>
      <c r="J48" s="2"/>
      <c r="K48" s="2">
        <f t="shared" si="15"/>
        <v>0</v>
      </c>
      <c r="L48" s="2" t="b">
        <v>0</v>
      </c>
      <c r="M48" s="2">
        <f>IF(N48,Исходные!D40,0)</f>
        <v>0</v>
      </c>
      <c r="N48" s="2" t="b">
        <v>0</v>
      </c>
      <c r="O48" s="30"/>
      <c r="P48" s="2">
        <f t="shared" si="16"/>
        <v>0</v>
      </c>
      <c r="S48" s="1">
        <f t="shared" si="17"/>
        <v>0</v>
      </c>
      <c r="T48" s="1">
        <f t="shared" si="18"/>
        <v>0</v>
      </c>
      <c r="V48" s="1">
        <f>Исходные!D40</f>
        <v>0</v>
      </c>
      <c r="W48" s="1">
        <f>Исходные!E40</f>
        <v>0</v>
      </c>
    </row>
    <row r="49" spans="1:23" x14ac:dyDescent="0.3">
      <c r="B49" s="2">
        <v>8</v>
      </c>
      <c r="C49" s="2">
        <f>Исходные!D41*Исходные!E41</f>
        <v>0</v>
      </c>
      <c r="D49" s="2"/>
      <c r="E49" s="2">
        <f>(Исходные!D41+Исходные!E41)*2</f>
        <v>0</v>
      </c>
      <c r="F49" s="2">
        <v>1</v>
      </c>
      <c r="G49" s="2">
        <f t="shared" si="12"/>
        <v>0</v>
      </c>
      <c r="H49" s="2">
        <f t="shared" si="13"/>
        <v>0</v>
      </c>
      <c r="I49" s="2">
        <f t="shared" si="14"/>
        <v>0</v>
      </c>
      <c r="J49" s="2"/>
      <c r="K49" s="2">
        <f t="shared" si="15"/>
        <v>0</v>
      </c>
      <c r="L49" s="2" t="b">
        <v>0</v>
      </c>
      <c r="M49" s="2">
        <f>IF(N49,Исходные!D41,0)</f>
        <v>0</v>
      </c>
      <c r="N49" s="2" t="b">
        <v>0</v>
      </c>
      <c r="O49" s="30"/>
      <c r="P49" s="2">
        <f t="shared" si="16"/>
        <v>0</v>
      </c>
      <c r="S49" s="1">
        <f t="shared" si="17"/>
        <v>0</v>
      </c>
      <c r="T49" s="1">
        <f t="shared" si="18"/>
        <v>0</v>
      </c>
      <c r="V49" s="1">
        <f>Исходные!D41</f>
        <v>0</v>
      </c>
      <c r="W49" s="1">
        <f>Исходные!E41</f>
        <v>0</v>
      </c>
    </row>
    <row r="50" spans="1:23" x14ac:dyDescent="0.3">
      <c r="B50" s="2">
        <v>9</v>
      </c>
      <c r="C50" s="2">
        <f>Исходные!D42*Исходные!E42</f>
        <v>0</v>
      </c>
      <c r="D50" s="2"/>
      <c r="E50" s="2">
        <f>(Исходные!D42+Исходные!E42)*2</f>
        <v>0</v>
      </c>
      <c r="F50" s="2">
        <v>1</v>
      </c>
      <c r="G50" s="2">
        <f t="shared" si="12"/>
        <v>0</v>
      </c>
      <c r="H50" s="2">
        <f t="shared" si="13"/>
        <v>0</v>
      </c>
      <c r="I50" s="2">
        <f t="shared" si="14"/>
        <v>0</v>
      </c>
      <c r="J50" s="2"/>
      <c r="K50" s="2">
        <f t="shared" si="15"/>
        <v>0</v>
      </c>
      <c r="L50" s="2" t="b">
        <v>1</v>
      </c>
      <c r="M50" s="2">
        <f>IF(N50,Исходные!D42,0)</f>
        <v>0</v>
      </c>
      <c r="N50" s="2" t="b">
        <v>0</v>
      </c>
      <c r="O50" s="30"/>
      <c r="P50" s="2">
        <f t="shared" si="16"/>
        <v>0</v>
      </c>
      <c r="S50" s="1">
        <f t="shared" si="17"/>
        <v>0</v>
      </c>
      <c r="T50" s="1">
        <f t="shared" si="18"/>
        <v>0</v>
      </c>
      <c r="V50" s="1">
        <f>Исходные!D42</f>
        <v>0</v>
      </c>
      <c r="W50" s="1">
        <f>Исходные!E42</f>
        <v>0</v>
      </c>
    </row>
    <row r="51" spans="1:23" ht="18.600000000000001" thickBot="1" x14ac:dyDescent="0.35">
      <c r="B51" s="2">
        <v>10</v>
      </c>
      <c r="C51" s="2">
        <f>Исходные!D43*Исходные!E43</f>
        <v>0</v>
      </c>
      <c r="D51" s="2"/>
      <c r="E51" s="2">
        <f>(Исходные!D43+Исходные!E43)*2</f>
        <v>0</v>
      </c>
      <c r="F51" s="2">
        <v>1</v>
      </c>
      <c r="G51" s="2">
        <f>C51*F51</f>
        <v>0</v>
      </c>
      <c r="H51" s="2">
        <f t="shared" si="13"/>
        <v>0</v>
      </c>
      <c r="I51" s="2">
        <f t="shared" si="14"/>
        <v>0</v>
      </c>
      <c r="J51" s="2"/>
      <c r="K51" s="2">
        <f t="shared" si="15"/>
        <v>0</v>
      </c>
      <c r="L51" s="2" t="b">
        <v>0</v>
      </c>
      <c r="M51" s="2">
        <f>IF(N51,Исходные!D43,0)</f>
        <v>0</v>
      </c>
      <c r="N51" s="2" t="b">
        <v>0</v>
      </c>
      <c r="O51" s="30" t="b">
        <v>0</v>
      </c>
      <c r="P51" s="2">
        <f t="shared" si="16"/>
        <v>0</v>
      </c>
      <c r="S51" s="1">
        <f t="shared" si="17"/>
        <v>0</v>
      </c>
      <c r="T51" s="1">
        <f t="shared" si="18"/>
        <v>0</v>
      </c>
      <c r="V51" s="1">
        <f>Исходные!D43</f>
        <v>0</v>
      </c>
      <c r="W51" s="1">
        <f>Исходные!E43</f>
        <v>0</v>
      </c>
    </row>
    <row r="52" spans="1:23" ht="18.600000000000001" thickBot="1" x14ac:dyDescent="0.35">
      <c r="G52" s="25">
        <f>SUM(G42:G51)</f>
        <v>0</v>
      </c>
      <c r="I52" s="7">
        <f>IF(O51,0,SUM(I42:I51))</f>
        <v>0</v>
      </c>
      <c r="J52" s="7"/>
      <c r="K52" s="7">
        <f>SUM(K42:K51)</f>
        <v>0</v>
      </c>
      <c r="M52" s="7">
        <f>SUM(M42:M51)</f>
        <v>0</v>
      </c>
      <c r="O52" s="36">
        <f>IF(O51,SUM(I42:I51),0)</f>
        <v>0</v>
      </c>
      <c r="P52" s="34">
        <f>SUM(P42:P51)</f>
        <v>0</v>
      </c>
      <c r="Q52" s="43">
        <f>I52+K52+O52</f>
        <v>0</v>
      </c>
      <c r="R52" s="43"/>
      <c r="S52" s="43">
        <f>SUM(S42:S51)</f>
        <v>0</v>
      </c>
      <c r="T52" s="43">
        <f>SUM(T42:T51)</f>
        <v>0</v>
      </c>
    </row>
    <row r="54" spans="1:23" x14ac:dyDescent="0.3">
      <c r="A54" s="5">
        <v>4</v>
      </c>
      <c r="B54" s="71" t="s">
        <v>12</v>
      </c>
      <c r="C54" s="71"/>
      <c r="D54" s="70"/>
      <c r="E54" s="70"/>
      <c r="F54" s="70"/>
    </row>
    <row r="55" spans="1:23" ht="36" x14ac:dyDescent="0.3">
      <c r="B55" s="2" t="s">
        <v>3</v>
      </c>
      <c r="C55" s="2" t="s">
        <v>13</v>
      </c>
      <c r="D55" s="2"/>
      <c r="E55" s="2" t="s">
        <v>14</v>
      </c>
      <c r="F55" s="2" t="s">
        <v>2</v>
      </c>
      <c r="G55" s="2" t="s">
        <v>10</v>
      </c>
      <c r="H55" s="2" t="s">
        <v>11</v>
      </c>
      <c r="I55" s="2" t="s">
        <v>22</v>
      </c>
      <c r="J55" s="2"/>
      <c r="K55" s="2" t="s">
        <v>21</v>
      </c>
      <c r="L55" s="2" t="s">
        <v>23</v>
      </c>
      <c r="M55" s="1" t="s">
        <v>91</v>
      </c>
    </row>
    <row r="56" spans="1:23" x14ac:dyDescent="0.3">
      <c r="B56" s="2">
        <v>1</v>
      </c>
      <c r="C56" s="2">
        <f>Исходные!D48*Исходные!E48</f>
        <v>0</v>
      </c>
      <c r="D56" s="2"/>
      <c r="E56" s="2">
        <f>Исходные!D48+Исходные!E48*2</f>
        <v>0</v>
      </c>
      <c r="F56" s="2">
        <v>1</v>
      </c>
      <c r="G56" s="2">
        <f>C56*F56</f>
        <v>0</v>
      </c>
      <c r="H56" s="2">
        <f>E56*F56</f>
        <v>0</v>
      </c>
      <c r="I56" s="2">
        <f>IF(L56,0,H56)</f>
        <v>0</v>
      </c>
      <c r="J56" s="2"/>
      <c r="K56" s="2">
        <f>IF(L56,H56,0)</f>
        <v>0</v>
      </c>
      <c r="L56" s="2" t="b">
        <v>1</v>
      </c>
    </row>
    <row r="57" spans="1:23" x14ac:dyDescent="0.3">
      <c r="B57" s="2">
        <v>2</v>
      </c>
      <c r="C57" s="2">
        <f>Исходные!D49*Исходные!E49</f>
        <v>0</v>
      </c>
      <c r="D57" s="2"/>
      <c r="E57" s="2">
        <f>Исходные!D49+Исходные!E49*2</f>
        <v>0</v>
      </c>
      <c r="F57" s="2">
        <v>2</v>
      </c>
      <c r="G57" s="2">
        <f t="shared" ref="G57:G60" si="19">C57*F57</f>
        <v>0</v>
      </c>
      <c r="H57" s="2">
        <f t="shared" ref="H57:H60" si="20">E57*F57</f>
        <v>0</v>
      </c>
      <c r="I57" s="2">
        <f t="shared" ref="I57:I60" si="21">IF(L57,0,H57)</f>
        <v>0</v>
      </c>
      <c r="J57" s="2"/>
      <c r="K57" s="2">
        <f t="shared" ref="K57:K60" si="22">IF(L57,H57,0)</f>
        <v>0</v>
      </c>
      <c r="L57" s="2" t="b">
        <v>1</v>
      </c>
    </row>
    <row r="58" spans="1:23" x14ac:dyDescent="0.3">
      <c r="B58" s="2">
        <v>3</v>
      </c>
      <c r="C58" s="2">
        <f>Исходные!D50*Исходные!E50</f>
        <v>0</v>
      </c>
      <c r="D58" s="2"/>
      <c r="E58" s="2">
        <f>Исходные!D50+Исходные!E50*2</f>
        <v>0</v>
      </c>
      <c r="F58" s="2">
        <v>1</v>
      </c>
      <c r="G58" s="2">
        <f t="shared" si="19"/>
        <v>0</v>
      </c>
      <c r="H58" s="2">
        <f t="shared" si="20"/>
        <v>0</v>
      </c>
      <c r="I58" s="2">
        <f t="shared" si="21"/>
        <v>0</v>
      </c>
      <c r="J58" s="2"/>
      <c r="K58" s="2">
        <f t="shared" si="22"/>
        <v>0</v>
      </c>
      <c r="L58" s="2" t="b">
        <v>0</v>
      </c>
    </row>
    <row r="59" spans="1:23" x14ac:dyDescent="0.3">
      <c r="B59" s="2">
        <v>4</v>
      </c>
      <c r="C59" s="2">
        <f>Исходные!D51*Исходные!E51</f>
        <v>0</v>
      </c>
      <c r="D59" s="2"/>
      <c r="E59" s="2">
        <f>Исходные!D51+Исходные!E51*2</f>
        <v>0</v>
      </c>
      <c r="F59" s="2">
        <v>1</v>
      </c>
      <c r="G59" s="2">
        <f t="shared" si="19"/>
        <v>0</v>
      </c>
      <c r="H59" s="2">
        <f t="shared" si="20"/>
        <v>0</v>
      </c>
      <c r="I59" s="2">
        <f t="shared" si="21"/>
        <v>0</v>
      </c>
      <c r="J59" s="2"/>
      <c r="K59" s="2">
        <f t="shared" si="22"/>
        <v>0</v>
      </c>
      <c r="L59" s="2" t="b">
        <v>0</v>
      </c>
    </row>
    <row r="60" spans="1:23" ht="18.600000000000001" thickBot="1" x14ac:dyDescent="0.35">
      <c r="B60" s="2">
        <v>5</v>
      </c>
      <c r="C60" s="2">
        <f>Исходные!D52*Исходные!E52</f>
        <v>0</v>
      </c>
      <c r="D60" s="2"/>
      <c r="E60" s="2">
        <f>Исходные!D52+Исходные!E52*2</f>
        <v>0</v>
      </c>
      <c r="F60" s="2">
        <v>1</v>
      </c>
      <c r="G60" s="2">
        <f t="shared" si="19"/>
        <v>0</v>
      </c>
      <c r="H60" s="2">
        <f t="shared" si="20"/>
        <v>0</v>
      </c>
      <c r="I60" s="2">
        <f t="shared" si="21"/>
        <v>0</v>
      </c>
      <c r="J60" s="2"/>
      <c r="K60" s="2">
        <f t="shared" si="22"/>
        <v>0</v>
      </c>
      <c r="L60" s="2" t="b">
        <v>0</v>
      </c>
    </row>
    <row r="61" spans="1:23" ht="18.600000000000001" thickBot="1" x14ac:dyDescent="0.35">
      <c r="G61" s="25">
        <f>SUM(G53:G60)</f>
        <v>0</v>
      </c>
      <c r="I61" s="7">
        <f>SUM(I56:I60)</f>
        <v>0</v>
      </c>
      <c r="J61" s="7"/>
      <c r="K61" s="7">
        <f>SUM(K56:K60)</f>
        <v>0</v>
      </c>
      <c r="M61" s="43">
        <f>I61+K61</f>
        <v>0</v>
      </c>
    </row>
    <row r="63" spans="1:23" x14ac:dyDescent="0.3">
      <c r="A63" s="5">
        <v>5</v>
      </c>
      <c r="B63" s="71" t="s">
        <v>15</v>
      </c>
      <c r="C63" s="71"/>
      <c r="D63" s="70"/>
      <c r="E63" s="70"/>
      <c r="F63" s="70"/>
    </row>
    <row r="64" spans="1:23" ht="36" x14ac:dyDescent="0.3">
      <c r="B64" s="2" t="s">
        <v>3</v>
      </c>
      <c r="C64" s="2" t="s">
        <v>16</v>
      </c>
      <c r="D64" s="2"/>
      <c r="E64" s="2" t="s">
        <v>17</v>
      </c>
      <c r="F64" s="2" t="s">
        <v>2</v>
      </c>
      <c r="G64" s="2" t="s">
        <v>10</v>
      </c>
      <c r="H64" s="2" t="s">
        <v>11</v>
      </c>
      <c r="I64" s="2" t="s">
        <v>22</v>
      </c>
      <c r="J64" s="2"/>
      <c r="K64" s="2" t="s">
        <v>21</v>
      </c>
      <c r="L64" s="2" t="s">
        <v>23</v>
      </c>
      <c r="M64" s="1" t="s">
        <v>91</v>
      </c>
    </row>
    <row r="65" spans="1:13" x14ac:dyDescent="0.3">
      <c r="B65" s="2">
        <v>1</v>
      </c>
      <c r="C65" s="2">
        <f>Исходные!D56*Исходные!E56</f>
        <v>0</v>
      </c>
      <c r="D65" s="2"/>
      <c r="E65" s="2">
        <f>Исходные!D56+Исходные!E56*2</f>
        <v>0</v>
      </c>
      <c r="F65" s="2">
        <v>1</v>
      </c>
      <c r="G65" s="2">
        <f>C65*F65</f>
        <v>0</v>
      </c>
      <c r="H65" s="2">
        <f>E65*F65</f>
        <v>0</v>
      </c>
      <c r="I65" s="2">
        <f>IF(L65,0,H65)</f>
        <v>0</v>
      </c>
      <c r="J65" s="2"/>
      <c r="K65" s="2">
        <f>IF(L65,H65,0)</f>
        <v>0</v>
      </c>
      <c r="L65" s="2" t="b">
        <v>0</v>
      </c>
    </row>
    <row r="66" spans="1:13" x14ac:dyDescent="0.3">
      <c r="B66" s="2">
        <v>2</v>
      </c>
      <c r="C66" s="2">
        <f>Исходные!D57*Исходные!E57</f>
        <v>0</v>
      </c>
      <c r="D66" s="2"/>
      <c r="E66" s="2">
        <f>Исходные!D57+Исходные!E57*2</f>
        <v>0</v>
      </c>
      <c r="F66" s="2">
        <v>1</v>
      </c>
      <c r="G66" s="2">
        <f t="shared" ref="G66:G69" si="23">C66*F66</f>
        <v>0</v>
      </c>
      <c r="H66" s="2">
        <f t="shared" ref="H66:H69" si="24">E66*F66</f>
        <v>0</v>
      </c>
      <c r="I66" s="2">
        <f t="shared" ref="I66:I69" si="25">IF(L66,0,H66)</f>
        <v>0</v>
      </c>
      <c r="J66" s="2"/>
      <c r="K66" s="2">
        <f t="shared" ref="K66:K69" si="26">IF(L66,H66,0)</f>
        <v>0</v>
      </c>
      <c r="L66" s="2" t="b">
        <v>0</v>
      </c>
    </row>
    <row r="67" spans="1:13" x14ac:dyDescent="0.3">
      <c r="B67" s="2">
        <v>3</v>
      </c>
      <c r="C67" s="2">
        <f>Исходные!D58*Исходные!E58</f>
        <v>0</v>
      </c>
      <c r="D67" s="2"/>
      <c r="E67" s="2">
        <f>Исходные!D58+Исходные!E58*2</f>
        <v>0</v>
      </c>
      <c r="F67" s="2">
        <v>1</v>
      </c>
      <c r="G67" s="2">
        <f t="shared" si="23"/>
        <v>0</v>
      </c>
      <c r="H67" s="2">
        <f t="shared" si="24"/>
        <v>0</v>
      </c>
      <c r="I67" s="2">
        <f t="shared" si="25"/>
        <v>0</v>
      </c>
      <c r="J67" s="2"/>
      <c r="K67" s="2">
        <f t="shared" si="26"/>
        <v>0</v>
      </c>
      <c r="L67" s="2" t="b">
        <v>0</v>
      </c>
    </row>
    <row r="68" spans="1:13" x14ac:dyDescent="0.3">
      <c r="B68" s="2">
        <v>4</v>
      </c>
      <c r="C68" s="2">
        <f>Исходные!D59*Исходные!E59</f>
        <v>0</v>
      </c>
      <c r="D68" s="2"/>
      <c r="E68" s="2">
        <f>Исходные!D59+Исходные!E59*2</f>
        <v>0</v>
      </c>
      <c r="F68" s="2">
        <v>1</v>
      </c>
      <c r="G68" s="2">
        <f t="shared" si="23"/>
        <v>0</v>
      </c>
      <c r="H68" s="2">
        <f t="shared" si="24"/>
        <v>0</v>
      </c>
      <c r="I68" s="2">
        <f t="shared" si="25"/>
        <v>0</v>
      </c>
      <c r="J68" s="2"/>
      <c r="K68" s="2">
        <f t="shared" si="26"/>
        <v>0</v>
      </c>
      <c r="L68" s="2" t="b">
        <v>0</v>
      </c>
    </row>
    <row r="69" spans="1:13" ht="18.600000000000001" thickBot="1" x14ac:dyDescent="0.35">
      <c r="B69" s="2">
        <v>5</v>
      </c>
      <c r="C69" s="2">
        <f>Исходные!D60*Исходные!E60</f>
        <v>0</v>
      </c>
      <c r="D69" s="2"/>
      <c r="E69" s="2">
        <f>Исходные!D60+Исходные!E60*2</f>
        <v>0</v>
      </c>
      <c r="F69" s="2">
        <v>1</v>
      </c>
      <c r="G69" s="2">
        <f t="shared" si="23"/>
        <v>0</v>
      </c>
      <c r="H69" s="2">
        <f t="shared" si="24"/>
        <v>0</v>
      </c>
      <c r="I69" s="2">
        <f t="shared" si="25"/>
        <v>0</v>
      </c>
      <c r="J69" s="2"/>
      <c r="K69" s="2">
        <f t="shared" si="26"/>
        <v>0</v>
      </c>
      <c r="L69" s="2" t="b">
        <v>0</v>
      </c>
    </row>
    <row r="70" spans="1:13" ht="18.600000000000001" thickBot="1" x14ac:dyDescent="0.35">
      <c r="G70" s="7">
        <f>SUM(G62:G69)</f>
        <v>0</v>
      </c>
      <c r="I70" s="7">
        <f>SUM(I65:I69)</f>
        <v>0</v>
      </c>
      <c r="J70" s="7"/>
      <c r="K70" s="7">
        <f>SUM(K65:K69)</f>
        <v>0</v>
      </c>
      <c r="M70" s="43">
        <f>I70+K70</f>
        <v>0</v>
      </c>
    </row>
    <row r="72" spans="1:13" x14ac:dyDescent="0.3">
      <c r="A72" s="5">
        <v>6</v>
      </c>
      <c r="B72" s="71" t="s">
        <v>18</v>
      </c>
      <c r="C72" s="71"/>
      <c r="D72" s="70"/>
      <c r="E72" s="70"/>
      <c r="F72" s="70"/>
    </row>
    <row r="73" spans="1:13" ht="36" x14ac:dyDescent="0.3">
      <c r="B73" s="2" t="s">
        <v>3</v>
      </c>
      <c r="C73" s="2" t="s">
        <v>19</v>
      </c>
      <c r="D73" s="2"/>
      <c r="E73" s="2" t="s">
        <v>2</v>
      </c>
      <c r="F73" s="2" t="s">
        <v>11</v>
      </c>
      <c r="G73" s="2" t="s">
        <v>22</v>
      </c>
      <c r="H73" s="2" t="s">
        <v>21</v>
      </c>
      <c r="I73" s="2" t="s">
        <v>23</v>
      </c>
    </row>
    <row r="74" spans="1:13" x14ac:dyDescent="0.3">
      <c r="B74" s="2">
        <v>1</v>
      </c>
      <c r="C74" s="2">
        <f>Исходные!D64</f>
        <v>0</v>
      </c>
      <c r="D74" s="2"/>
      <c r="E74" s="2">
        <v>6</v>
      </c>
      <c r="F74" s="2">
        <f>C74*E74</f>
        <v>0</v>
      </c>
      <c r="G74" s="2">
        <f>IF(I74,0,F74)</f>
        <v>0</v>
      </c>
      <c r="H74" s="2">
        <f>IF(I74,F74*2,0)</f>
        <v>0</v>
      </c>
      <c r="I74" s="2" t="b">
        <v>0</v>
      </c>
    </row>
    <row r="75" spans="1:13" x14ac:dyDescent="0.3">
      <c r="B75" s="2">
        <v>2</v>
      </c>
      <c r="C75" s="2">
        <f>Исходные!D65</f>
        <v>0</v>
      </c>
      <c r="D75" s="2"/>
      <c r="E75" s="2">
        <v>2</v>
      </c>
      <c r="F75" s="2">
        <f t="shared" ref="F75:F78" si="27">C75*E75</f>
        <v>0</v>
      </c>
      <c r="G75" s="2">
        <f t="shared" ref="G75:G78" si="28">IF(I75,0,F75)</f>
        <v>0</v>
      </c>
      <c r="H75" s="2">
        <f t="shared" ref="H75:H78" si="29">IF(I75,F75*2,0)</f>
        <v>0</v>
      </c>
      <c r="I75" s="2" t="b">
        <v>0</v>
      </c>
    </row>
    <row r="76" spans="1:13" x14ac:dyDescent="0.3">
      <c r="B76" s="2">
        <v>3</v>
      </c>
      <c r="C76" s="2">
        <f>Исходные!D66</f>
        <v>0</v>
      </c>
      <c r="D76" s="2"/>
      <c r="E76" s="2">
        <v>1</v>
      </c>
      <c r="F76" s="2">
        <f t="shared" si="27"/>
        <v>0</v>
      </c>
      <c r="G76" s="2">
        <f t="shared" si="28"/>
        <v>0</v>
      </c>
      <c r="H76" s="2">
        <f t="shared" si="29"/>
        <v>0</v>
      </c>
      <c r="I76" s="2" t="b">
        <v>0</v>
      </c>
    </row>
    <row r="77" spans="1:13" x14ac:dyDescent="0.3">
      <c r="B77" s="2">
        <v>4</v>
      </c>
      <c r="C77" s="2">
        <f>Исходные!D67</f>
        <v>0</v>
      </c>
      <c r="D77" s="2"/>
      <c r="E77" s="2">
        <v>1</v>
      </c>
      <c r="F77" s="2">
        <f t="shared" si="27"/>
        <v>0</v>
      </c>
      <c r="G77" s="2">
        <f t="shared" si="28"/>
        <v>0</v>
      </c>
      <c r="H77" s="2">
        <f t="shared" si="29"/>
        <v>0</v>
      </c>
      <c r="I77" s="2" t="b">
        <v>0</v>
      </c>
    </row>
    <row r="78" spans="1:13" ht="18.600000000000001" thickBot="1" x14ac:dyDescent="0.35">
      <c r="B78" s="2">
        <v>5</v>
      </c>
      <c r="C78" s="2">
        <f>Исходные!D68</f>
        <v>0</v>
      </c>
      <c r="D78" s="2"/>
      <c r="E78" s="2">
        <v>1</v>
      </c>
      <c r="F78" s="2">
        <f t="shared" si="27"/>
        <v>0</v>
      </c>
      <c r="G78" s="2">
        <f t="shared" si="28"/>
        <v>0</v>
      </c>
      <c r="H78" s="2">
        <f t="shared" si="29"/>
        <v>0</v>
      </c>
      <c r="I78" s="2" t="b">
        <v>0</v>
      </c>
    </row>
    <row r="79" spans="1:13" ht="18.600000000000001" thickBot="1" x14ac:dyDescent="0.35">
      <c r="G79" s="7">
        <f>SUM(G74:G78)</f>
        <v>0</v>
      </c>
      <c r="H79" s="7">
        <f>SUM(H74:H78)</f>
        <v>0</v>
      </c>
    </row>
    <row r="81" spans="1:24" x14ac:dyDescent="0.3">
      <c r="A81" s="5">
        <v>7</v>
      </c>
      <c r="B81" s="71" t="s">
        <v>20</v>
      </c>
      <c r="C81" s="71"/>
      <c r="D81" s="70"/>
      <c r="E81" s="70"/>
      <c r="F81" s="70"/>
      <c r="M81" s="35">
        <v>8</v>
      </c>
      <c r="N81" s="73" t="s">
        <v>88</v>
      </c>
      <c r="O81" s="73"/>
      <c r="P81" s="73"/>
      <c r="Q81" s="1" t="s">
        <v>91</v>
      </c>
    </row>
    <row r="82" spans="1:24" ht="36" x14ac:dyDescent="0.3">
      <c r="B82" s="2" t="s">
        <v>3</v>
      </c>
      <c r="C82" s="2" t="s">
        <v>19</v>
      </c>
      <c r="D82" s="2"/>
      <c r="E82" s="2" t="s">
        <v>2</v>
      </c>
      <c r="F82" s="2" t="s">
        <v>11</v>
      </c>
      <c r="G82" s="2" t="s">
        <v>22</v>
      </c>
      <c r="H82" s="2" t="s">
        <v>21</v>
      </c>
      <c r="I82" s="2" t="s">
        <v>23</v>
      </c>
      <c r="M82" s="2" t="s">
        <v>21</v>
      </c>
      <c r="N82" s="1" t="s">
        <v>79</v>
      </c>
      <c r="O82" s="2" t="s">
        <v>23</v>
      </c>
      <c r="P82" s="1" t="s">
        <v>89</v>
      </c>
    </row>
    <row r="83" spans="1:24" x14ac:dyDescent="0.3">
      <c r="B83" s="2">
        <v>1</v>
      </c>
      <c r="C83" s="2">
        <f>Исходные!D72</f>
        <v>0</v>
      </c>
      <c r="D83" s="2"/>
      <c r="E83" s="2">
        <v>2</v>
      </c>
      <c r="F83" s="2">
        <f>C83*E83</f>
        <v>0</v>
      </c>
      <c r="G83" s="2">
        <f>IF(I83,0,F83)</f>
        <v>0</v>
      </c>
      <c r="H83" s="2">
        <f>IF(I83,F83*2,0)</f>
        <v>0</v>
      </c>
      <c r="I83" s="2" t="b">
        <v>0</v>
      </c>
      <c r="M83" s="2">
        <f>IF(O83=TRUE,0,Исходные!D80*Программа!P83)</f>
        <v>0</v>
      </c>
      <c r="N83" s="2">
        <f>IF(O83=TRUE,Исходные!D80*Программа!P83,0)</f>
        <v>0</v>
      </c>
      <c r="O83" s="2" t="b">
        <v>0</v>
      </c>
      <c r="P83" s="1">
        <v>2</v>
      </c>
    </row>
    <row r="84" spans="1:24" x14ac:dyDescent="0.3">
      <c r="B84" s="2">
        <v>2</v>
      </c>
      <c r="C84" s="2">
        <f>Исходные!D73</f>
        <v>0</v>
      </c>
      <c r="D84" s="2"/>
      <c r="E84" s="2">
        <v>1</v>
      </c>
      <c r="F84" s="2">
        <f t="shared" ref="F84:F87" si="30">C84*E84</f>
        <v>0</v>
      </c>
      <c r="G84" s="2">
        <f t="shared" ref="G84:G87" si="31">IF(I84,0,F84)</f>
        <v>0</v>
      </c>
      <c r="H84" s="2">
        <f t="shared" ref="H84:H87" si="32">IF(I84,F84*2,0)</f>
        <v>0</v>
      </c>
      <c r="I84" s="2" t="b">
        <v>0</v>
      </c>
      <c r="M84" s="2">
        <f>IF(O84=TRUE,0,Исходные!D81*Программа!P84)</f>
        <v>0</v>
      </c>
      <c r="N84" s="2">
        <f>IF(O84=TRUE,Исходные!D81*Программа!P84,0)</f>
        <v>0</v>
      </c>
      <c r="O84" s="2" t="b">
        <v>0</v>
      </c>
      <c r="P84" s="1">
        <v>2</v>
      </c>
    </row>
    <row r="85" spans="1:24" x14ac:dyDescent="0.3">
      <c r="B85" s="2">
        <v>3</v>
      </c>
      <c r="C85" s="2">
        <f>Исходные!D74</f>
        <v>0</v>
      </c>
      <c r="D85" s="2"/>
      <c r="E85" s="2">
        <v>1</v>
      </c>
      <c r="F85" s="2">
        <f t="shared" si="30"/>
        <v>0</v>
      </c>
      <c r="G85" s="2">
        <f t="shared" si="31"/>
        <v>0</v>
      </c>
      <c r="H85" s="2">
        <f t="shared" si="32"/>
        <v>0</v>
      </c>
      <c r="I85" s="2" t="b">
        <v>0</v>
      </c>
      <c r="M85" s="2">
        <f>IF(O85=TRUE,0,Исходные!D82*Программа!P85)</f>
        <v>0</v>
      </c>
      <c r="N85" s="2">
        <f>IF(O85=TRUE,Исходные!D82*Программа!P85,0)</f>
        <v>0</v>
      </c>
      <c r="O85" s="2" t="b">
        <v>0</v>
      </c>
      <c r="P85" s="1">
        <v>1</v>
      </c>
    </row>
    <row r="86" spans="1:24" x14ac:dyDescent="0.3">
      <c r="B86" s="2">
        <v>4</v>
      </c>
      <c r="C86" s="2">
        <f>Исходные!D75</f>
        <v>0</v>
      </c>
      <c r="D86" s="2"/>
      <c r="E86" s="2">
        <v>1</v>
      </c>
      <c r="F86" s="2">
        <f t="shared" si="30"/>
        <v>0</v>
      </c>
      <c r="G86" s="2">
        <f t="shared" si="31"/>
        <v>0</v>
      </c>
      <c r="H86" s="2">
        <f t="shared" si="32"/>
        <v>0</v>
      </c>
      <c r="I86" s="2" t="b">
        <v>0</v>
      </c>
      <c r="M86" s="2">
        <f>IF(O86=TRUE,0,Исходные!D83*Программа!P86)</f>
        <v>0</v>
      </c>
      <c r="N86" s="2">
        <f>IF(O86=TRUE,Исходные!D83*Программа!P86,0)</f>
        <v>0</v>
      </c>
      <c r="O86" s="2" t="b">
        <v>0</v>
      </c>
      <c r="P86" s="1">
        <v>1</v>
      </c>
    </row>
    <row r="87" spans="1:24" ht="18.600000000000001" thickBot="1" x14ac:dyDescent="0.35">
      <c r="B87" s="2">
        <v>5</v>
      </c>
      <c r="C87" s="2">
        <f>Исходные!D76</f>
        <v>0</v>
      </c>
      <c r="D87" s="2"/>
      <c r="E87" s="2">
        <v>1</v>
      </c>
      <c r="F87" s="2">
        <f t="shared" si="30"/>
        <v>0</v>
      </c>
      <c r="G87" s="2">
        <f t="shared" si="31"/>
        <v>0</v>
      </c>
      <c r="H87" s="2">
        <f t="shared" si="32"/>
        <v>0</v>
      </c>
      <c r="I87" s="2" t="b">
        <v>0</v>
      </c>
      <c r="M87" s="2">
        <f>IF(O87=TRUE,0,Исходные!D84*Программа!P87)</f>
        <v>0</v>
      </c>
      <c r="N87" s="2">
        <f>IF(O87=TRUE,Исходные!D84*Программа!P87,0)</f>
        <v>0</v>
      </c>
      <c r="O87" s="2" t="b">
        <v>0</v>
      </c>
      <c r="P87" s="1">
        <v>1</v>
      </c>
    </row>
    <row r="88" spans="1:24" ht="18.600000000000001" thickBot="1" x14ac:dyDescent="0.35">
      <c r="G88" s="7">
        <f>SUM(G83:G87)</f>
        <v>0</v>
      </c>
      <c r="H88" s="7">
        <f>SUM(H83:H87)</f>
        <v>0</v>
      </c>
      <c r="M88" s="34">
        <f>SUM(M83:M87)</f>
        <v>0</v>
      </c>
      <c r="N88" s="34">
        <f>SUM(N83:N87)</f>
        <v>0</v>
      </c>
      <c r="O88" s="34">
        <f>M88+N88</f>
        <v>0</v>
      </c>
      <c r="Q88" s="43">
        <f>M88+N88</f>
        <v>0</v>
      </c>
      <c r="R88" s="43"/>
    </row>
    <row r="90" spans="1:24" x14ac:dyDescent="0.3">
      <c r="B90" s="1">
        <v>1</v>
      </c>
      <c r="C90" s="31">
        <v>2</v>
      </c>
      <c r="D90" s="31">
        <v>3</v>
      </c>
      <c r="E90" s="31">
        <v>4</v>
      </c>
      <c r="F90" s="31">
        <v>5</v>
      </c>
      <c r="G90" s="31">
        <v>6</v>
      </c>
      <c r="H90" s="31">
        <v>7</v>
      </c>
      <c r="I90" s="32">
        <v>1</v>
      </c>
      <c r="J90" s="32">
        <v>2</v>
      </c>
      <c r="K90" s="32">
        <v>3</v>
      </c>
      <c r="L90" s="32">
        <v>4</v>
      </c>
      <c r="M90" s="32">
        <v>5</v>
      </c>
      <c r="N90" s="32">
        <v>6</v>
      </c>
      <c r="O90" s="32">
        <v>7</v>
      </c>
      <c r="P90" s="1">
        <v>8</v>
      </c>
      <c r="Q90" s="3">
        <v>1</v>
      </c>
      <c r="R90" s="3">
        <v>2</v>
      </c>
      <c r="S90" s="3">
        <v>3</v>
      </c>
      <c r="T90" s="3">
        <v>4</v>
      </c>
      <c r="U90" s="3">
        <v>5</v>
      </c>
      <c r="V90" s="3">
        <v>6</v>
      </c>
    </row>
    <row r="91" spans="1:24" ht="36" x14ac:dyDescent="0.3">
      <c r="A91" s="5"/>
      <c r="B91" s="37" t="s">
        <v>58</v>
      </c>
      <c r="C91" s="37" t="s">
        <v>58</v>
      </c>
      <c r="D91" s="37" t="s">
        <v>58</v>
      </c>
      <c r="E91" s="39" t="s">
        <v>58</v>
      </c>
      <c r="F91" s="42" t="s">
        <v>58</v>
      </c>
      <c r="G91" s="45" t="s">
        <v>58</v>
      </c>
      <c r="H91" s="46" t="s">
        <v>58</v>
      </c>
      <c r="I91" s="37" t="s">
        <v>57</v>
      </c>
      <c r="J91" s="37" t="s">
        <v>57</v>
      </c>
      <c r="K91" s="37" t="s">
        <v>57</v>
      </c>
      <c r="L91" s="38" t="s">
        <v>57</v>
      </c>
      <c r="M91" s="42" t="s">
        <v>57</v>
      </c>
      <c r="N91" s="45" t="s">
        <v>57</v>
      </c>
      <c r="O91" s="46" t="s">
        <v>57</v>
      </c>
      <c r="P91" s="46" t="s">
        <v>57</v>
      </c>
      <c r="Q91" s="47" t="s">
        <v>92</v>
      </c>
      <c r="R91" s="47" t="s">
        <v>92</v>
      </c>
      <c r="S91" s="47" t="s">
        <v>92</v>
      </c>
      <c r="T91" s="48" t="s">
        <v>92</v>
      </c>
      <c r="U91" s="49" t="s">
        <v>92</v>
      </c>
      <c r="V91" s="50" t="s">
        <v>92</v>
      </c>
      <c r="W91" s="51" t="s">
        <v>92</v>
      </c>
      <c r="X91" s="1" t="s">
        <v>92</v>
      </c>
    </row>
    <row r="92" spans="1:24" ht="108" x14ac:dyDescent="0.3">
      <c r="B92" s="2" t="s">
        <v>140</v>
      </c>
      <c r="C92" s="17" t="s">
        <v>115</v>
      </c>
      <c r="D92" s="17" t="s">
        <v>118</v>
      </c>
      <c r="E92" s="17" t="s">
        <v>121</v>
      </c>
      <c r="F92" s="17" t="s">
        <v>121</v>
      </c>
      <c r="G92" s="33" t="s">
        <v>70</v>
      </c>
      <c r="H92" s="10" t="s">
        <v>74</v>
      </c>
      <c r="I92" s="9">
        <f>$F$29+$I$38-$G$52-$G$61-$G$70</f>
        <v>45</v>
      </c>
      <c r="J92" s="26">
        <f>F29+I38-G52-G61-G70</f>
        <v>45</v>
      </c>
      <c r="K92" s="26">
        <f>F29+I38-G52-G61-G70</f>
        <v>45</v>
      </c>
      <c r="L92" s="9">
        <f>F29+I38-G52-G61-G70</f>
        <v>45</v>
      </c>
      <c r="M92" s="29">
        <f>F29+I38-G52-G61-G70</f>
        <v>45</v>
      </c>
      <c r="N92" s="9">
        <f>$F$29+$I$38-$G$52-$G$61-$G$70</f>
        <v>45</v>
      </c>
      <c r="O92" s="9">
        <f>$F$29+$I$38-$G$52-$G$61-$G$70</f>
        <v>45</v>
      </c>
      <c r="P92" s="67">
        <f>O92</f>
        <v>45</v>
      </c>
      <c r="Q92" s="1">
        <v>0.75</v>
      </c>
      <c r="R92" s="1">
        <v>0.98</v>
      </c>
      <c r="S92" s="1">
        <v>0.84</v>
      </c>
      <c r="T92" s="1">
        <v>1.08</v>
      </c>
      <c r="U92" s="1">
        <v>1.08</v>
      </c>
      <c r="V92" s="1">
        <v>0.42</v>
      </c>
      <c r="W92" s="1">
        <v>0.96</v>
      </c>
      <c r="X92" s="1">
        <v>0.96</v>
      </c>
    </row>
    <row r="93" spans="1:24" ht="108" x14ac:dyDescent="0.3">
      <c r="B93" s="2" t="s">
        <v>141</v>
      </c>
      <c r="C93" s="10" t="s">
        <v>39</v>
      </c>
      <c r="D93" s="10" t="s">
        <v>39</v>
      </c>
      <c r="E93" s="40" t="s">
        <v>122</v>
      </c>
      <c r="F93" s="10" t="s">
        <v>130</v>
      </c>
      <c r="G93" s="33" t="s">
        <v>72</v>
      </c>
      <c r="H93" s="10" t="s">
        <v>131</v>
      </c>
      <c r="I93" s="9">
        <f>$H$5+$M$38+$K$52+$K$61+$K$70+$H$79+$H$88+$M$88</f>
        <v>0</v>
      </c>
      <c r="J93" s="9">
        <f>$H$5+$M$38+$K$52+$K$61+$K$70+$H$79+$H$88+$M$88</f>
        <v>0</v>
      </c>
      <c r="K93" s="9">
        <f>$I$93</f>
        <v>0</v>
      </c>
      <c r="L93" s="9">
        <f>$K$29+$O$38+$Q$52+$M$61+$M$70+$Q$88</f>
        <v>0</v>
      </c>
      <c r="M93" s="9">
        <f>$K$94+$K$93</f>
        <v>0</v>
      </c>
      <c r="N93" s="29">
        <f>$Y$29+$O$38+$Q$88+$Q$52+$M$61+$M$70</f>
        <v>0</v>
      </c>
      <c r="O93" s="9">
        <f>$K$29+$O$38+$K$52+$M$70+$H$79+$H$88+$Q$88+$M$61</f>
        <v>0</v>
      </c>
      <c r="P93" s="67">
        <f>O93+O101+O99</f>
        <v>15</v>
      </c>
      <c r="Q93" s="1">
        <v>3.05</v>
      </c>
      <c r="R93" s="1">
        <v>3.66</v>
      </c>
      <c r="S93" s="1">
        <v>3.66</v>
      </c>
      <c r="T93" s="1">
        <v>3</v>
      </c>
      <c r="U93" s="1">
        <v>3</v>
      </c>
      <c r="V93" s="1">
        <v>3</v>
      </c>
      <c r="W93" s="1">
        <v>3.05</v>
      </c>
      <c r="X93" s="1">
        <v>3.05</v>
      </c>
    </row>
    <row r="94" spans="1:24" ht="90" x14ac:dyDescent="0.3">
      <c r="B94" s="2" t="s">
        <v>142</v>
      </c>
      <c r="C94" s="10" t="s">
        <v>40</v>
      </c>
      <c r="D94" s="10" t="s">
        <v>40</v>
      </c>
      <c r="E94" s="40" t="s">
        <v>123</v>
      </c>
      <c r="F94" s="10" t="s">
        <v>124</v>
      </c>
      <c r="G94" s="33" t="s">
        <v>69</v>
      </c>
      <c r="H94" s="10" t="s">
        <v>132</v>
      </c>
      <c r="I94" s="9">
        <f>$I$52</f>
        <v>0</v>
      </c>
      <c r="J94" s="9">
        <f>$I$52</f>
        <v>0</v>
      </c>
      <c r="K94" s="9">
        <f>$I$94</f>
        <v>0</v>
      </c>
      <c r="L94" s="41">
        <f>$H$29+$Q$33</f>
        <v>15</v>
      </c>
      <c r="M94" s="9">
        <f>$K$97</f>
        <v>0</v>
      </c>
      <c r="N94" s="30">
        <f>$G$88</f>
        <v>0</v>
      </c>
      <c r="O94" s="2">
        <f>$I$52</f>
        <v>0</v>
      </c>
      <c r="P94" s="3">
        <f>O94</f>
        <v>0</v>
      </c>
      <c r="Q94" s="1">
        <v>3.05</v>
      </c>
      <c r="R94" s="1">
        <v>3.05</v>
      </c>
      <c r="S94" s="1">
        <v>3.05</v>
      </c>
      <c r="T94" s="1">
        <v>3</v>
      </c>
      <c r="U94" s="1">
        <v>3</v>
      </c>
      <c r="V94" s="1">
        <v>0.42</v>
      </c>
      <c r="W94" s="1">
        <v>3.05</v>
      </c>
      <c r="X94" s="1">
        <v>3.05</v>
      </c>
    </row>
    <row r="95" spans="1:24" ht="108" x14ac:dyDescent="0.3">
      <c r="B95" s="2" t="s">
        <v>143</v>
      </c>
      <c r="C95" s="10" t="s">
        <v>41</v>
      </c>
      <c r="D95" s="10" t="s">
        <v>41</v>
      </c>
      <c r="E95" s="40" t="s">
        <v>125</v>
      </c>
      <c r="F95" s="10" t="s">
        <v>129</v>
      </c>
      <c r="G95" s="33" t="s">
        <v>73</v>
      </c>
      <c r="H95" s="10" t="s">
        <v>133</v>
      </c>
      <c r="I95" s="9">
        <f>$G$88</f>
        <v>0</v>
      </c>
      <c r="J95" s="9">
        <f>$G$88</f>
        <v>0</v>
      </c>
      <c r="K95" s="9">
        <f>$I$95</f>
        <v>0</v>
      </c>
      <c r="L95" s="41" t="e">
        <f>$O$29+$P$33</f>
        <v>#DIV/0!</v>
      </c>
      <c r="M95" s="9">
        <f>$K$98</f>
        <v>0</v>
      </c>
      <c r="N95" s="30">
        <f>$G$79</f>
        <v>0</v>
      </c>
      <c r="O95" s="2">
        <f>$G$88</f>
        <v>0</v>
      </c>
      <c r="P95" s="3">
        <f>O95</f>
        <v>0</v>
      </c>
      <c r="Q95" s="1">
        <v>3.05</v>
      </c>
      <c r="R95" s="1">
        <v>3.05</v>
      </c>
      <c r="S95" s="1">
        <v>3.05</v>
      </c>
      <c r="T95" s="1">
        <v>3</v>
      </c>
      <c r="U95" s="1">
        <v>3</v>
      </c>
      <c r="V95" s="1">
        <v>0.42</v>
      </c>
      <c r="W95" s="1">
        <v>3.05</v>
      </c>
      <c r="X95" s="1">
        <v>3.05</v>
      </c>
    </row>
    <row r="96" spans="1:24" ht="90" x14ac:dyDescent="0.3">
      <c r="B96" s="2" t="s">
        <v>144</v>
      </c>
      <c r="C96" s="10" t="s">
        <v>42</v>
      </c>
      <c r="D96" s="10" t="s">
        <v>42</v>
      </c>
      <c r="E96" s="40" t="s">
        <v>126</v>
      </c>
      <c r="F96" s="10"/>
      <c r="G96" s="33" t="s">
        <v>71</v>
      </c>
      <c r="H96" s="10" t="s">
        <v>134</v>
      </c>
      <c r="I96" s="9" t="e">
        <f>$O$29+$P$33</f>
        <v>#DIV/0!</v>
      </c>
      <c r="J96" s="9" t="e">
        <f>$O$29+$P$33</f>
        <v>#DIV/0!</v>
      </c>
      <c r="K96" s="9" t="e">
        <f>$I$96</f>
        <v>#DIV/0!</v>
      </c>
      <c r="L96" s="41">
        <f>$K$95</f>
        <v>0</v>
      </c>
      <c r="M96" s="29"/>
      <c r="N96" s="29">
        <f>$H$29+$Q$33</f>
        <v>15</v>
      </c>
      <c r="O96" s="2" t="e">
        <f>$O$29+$P$33</f>
        <v>#DIV/0!</v>
      </c>
      <c r="P96" s="3">
        <f>0</f>
        <v>0</v>
      </c>
      <c r="Q96" s="1">
        <v>3.05</v>
      </c>
      <c r="R96" s="1">
        <v>3.05</v>
      </c>
      <c r="S96" s="1">
        <v>3.05</v>
      </c>
      <c r="T96" s="1">
        <v>0.18099999999999999</v>
      </c>
      <c r="V96" s="1">
        <v>3</v>
      </c>
      <c r="W96" s="1">
        <v>3.05</v>
      </c>
      <c r="X96" s="1">
        <v>3.05</v>
      </c>
    </row>
    <row r="97" spans="2:24" ht="90" x14ac:dyDescent="0.3">
      <c r="B97" s="2" t="s">
        <v>145</v>
      </c>
      <c r="C97" s="10" t="s">
        <v>43</v>
      </c>
      <c r="D97" s="10" t="s">
        <v>43</v>
      </c>
      <c r="E97" s="40" t="s">
        <v>124</v>
      </c>
      <c r="F97" s="10"/>
      <c r="H97" s="10" t="s">
        <v>136</v>
      </c>
      <c r="I97" s="9">
        <f>$G$79</f>
        <v>0</v>
      </c>
      <c r="J97" s="9">
        <f>$G$79</f>
        <v>0</v>
      </c>
      <c r="K97" s="9">
        <f>$I$97</f>
        <v>0</v>
      </c>
      <c r="L97" s="41">
        <f>$G$79+$G$88</f>
        <v>0</v>
      </c>
      <c r="N97" s="2"/>
      <c r="O97" s="2">
        <f>$G$79</f>
        <v>0</v>
      </c>
      <c r="P97" s="3">
        <f>O97</f>
        <v>0</v>
      </c>
      <c r="Q97" s="1">
        <v>3.05</v>
      </c>
      <c r="R97" s="1">
        <v>3.05</v>
      </c>
      <c r="S97" s="1">
        <v>3.05</v>
      </c>
      <c r="T97" s="1">
        <v>3</v>
      </c>
      <c r="W97" s="1">
        <v>3.05</v>
      </c>
      <c r="X97" s="1">
        <v>3.05</v>
      </c>
    </row>
    <row r="98" spans="2:24" ht="72" x14ac:dyDescent="0.3">
      <c r="B98" s="2" t="s">
        <v>146</v>
      </c>
      <c r="C98" s="10" t="s">
        <v>44</v>
      </c>
      <c r="D98" s="10" t="s">
        <v>44</v>
      </c>
      <c r="E98" s="40" t="s">
        <v>128</v>
      </c>
      <c r="H98" s="10" t="s">
        <v>135</v>
      </c>
      <c r="I98" s="9">
        <f>$Q$29+$M$52</f>
        <v>0</v>
      </c>
      <c r="J98" s="9">
        <f>$Q$29+$M$52</f>
        <v>0</v>
      </c>
      <c r="K98" s="9">
        <f>$I98</f>
        <v>0</v>
      </c>
      <c r="L98" s="41">
        <f>$I29</f>
        <v>0</v>
      </c>
      <c r="N98" s="2"/>
      <c r="O98" s="2">
        <f>$Q$29+$M$52</f>
        <v>0</v>
      </c>
      <c r="P98" s="3">
        <f>O98</f>
        <v>0</v>
      </c>
      <c r="Q98" s="1">
        <v>3.05</v>
      </c>
      <c r="R98" s="1">
        <v>3.66</v>
      </c>
      <c r="S98" s="1">
        <v>3.66</v>
      </c>
      <c r="T98" s="1">
        <v>3</v>
      </c>
      <c r="W98" s="1">
        <v>3.05</v>
      </c>
      <c r="X98" s="1">
        <v>3.05</v>
      </c>
    </row>
    <row r="99" spans="2:24" ht="90" x14ac:dyDescent="0.3">
      <c r="B99" s="65" t="s">
        <v>147</v>
      </c>
      <c r="C99" s="10" t="s">
        <v>45</v>
      </c>
      <c r="D99" s="10" t="s">
        <v>45</v>
      </c>
      <c r="E99" s="40" t="s">
        <v>127</v>
      </c>
      <c r="H99" s="10" t="s">
        <v>137</v>
      </c>
      <c r="I99" s="11">
        <f>$H$29+$Q$33</f>
        <v>15</v>
      </c>
      <c r="J99" s="9">
        <f>$I$61+$I$70</f>
        <v>0</v>
      </c>
      <c r="K99" s="9">
        <f>$J$99</f>
        <v>0</v>
      </c>
      <c r="L99" s="41">
        <f>$F$29*15</f>
        <v>675</v>
      </c>
      <c r="O99" s="9">
        <f>I29+$I$52</f>
        <v>0</v>
      </c>
      <c r="P99" s="3">
        <f>S52+P95/2+P97/2</f>
        <v>0</v>
      </c>
      <c r="Q99" s="1">
        <v>3.05</v>
      </c>
      <c r="R99" s="1">
        <v>3.66</v>
      </c>
      <c r="S99" s="1">
        <v>3.66</v>
      </c>
      <c r="T99" s="1">
        <v>1</v>
      </c>
      <c r="W99" s="1">
        <v>3.05</v>
      </c>
      <c r="X99" s="1">
        <v>3.05</v>
      </c>
    </row>
    <row r="100" spans="2:24" ht="90" x14ac:dyDescent="0.3">
      <c r="B100" s="65" t="s">
        <v>148</v>
      </c>
      <c r="C100" s="10" t="s">
        <v>46</v>
      </c>
      <c r="D100" s="10" t="s">
        <v>46</v>
      </c>
      <c r="E100" s="40"/>
      <c r="H100" s="10" t="s">
        <v>138</v>
      </c>
      <c r="I100" s="11">
        <f>$I$29+$P$52</f>
        <v>0</v>
      </c>
      <c r="J100" s="9">
        <f>$H$6+$L$38</f>
        <v>0</v>
      </c>
      <c r="K100" s="9">
        <f>$J$100</f>
        <v>0</v>
      </c>
      <c r="L100" s="11"/>
      <c r="O100" s="2">
        <f>$O$52</f>
        <v>0</v>
      </c>
      <c r="P100" s="3">
        <f>O100</f>
        <v>0</v>
      </c>
      <c r="Q100" s="1">
        <v>3.05</v>
      </c>
      <c r="R100" s="1">
        <v>3.66</v>
      </c>
      <c r="S100" s="1">
        <v>3.66</v>
      </c>
      <c r="W100" s="1">
        <v>3.05</v>
      </c>
      <c r="X100" s="1">
        <v>3.05</v>
      </c>
    </row>
    <row r="101" spans="2:24" ht="90" x14ac:dyDescent="0.3">
      <c r="B101" s="65" t="s">
        <v>149</v>
      </c>
      <c r="C101" s="10" t="s">
        <v>47</v>
      </c>
      <c r="D101" s="10" t="s">
        <v>47</v>
      </c>
      <c r="E101" s="40"/>
      <c r="H101" s="10" t="s">
        <v>139</v>
      </c>
      <c r="I101" s="1">
        <f>$O$52</f>
        <v>0</v>
      </c>
      <c r="J101" s="9">
        <f>$H$29+$Q$33</f>
        <v>15</v>
      </c>
      <c r="K101" s="9">
        <f>$J$101</f>
        <v>15</v>
      </c>
      <c r="L101" s="11"/>
      <c r="O101" s="9">
        <f>$H$29+$Q$33</f>
        <v>15</v>
      </c>
      <c r="P101" s="3">
        <f>T52+O95/2+O97/2</f>
        <v>0</v>
      </c>
      <c r="Q101" s="1">
        <v>3.05</v>
      </c>
      <c r="R101" s="1">
        <v>3.66</v>
      </c>
      <c r="S101" s="1">
        <v>3.66</v>
      </c>
      <c r="W101" s="1">
        <v>3.05</v>
      </c>
      <c r="X101" s="1">
        <v>3.05</v>
      </c>
    </row>
    <row r="102" spans="2:24" ht="90" x14ac:dyDescent="0.3">
      <c r="B102" s="2"/>
      <c r="C102" s="66" t="s">
        <v>48</v>
      </c>
      <c r="D102" s="66" t="s">
        <v>48</v>
      </c>
      <c r="E102" s="10"/>
      <c r="J102" s="9">
        <f>$I$29+$P$52</f>
        <v>0</v>
      </c>
      <c r="K102" s="27">
        <f>$J$102</f>
        <v>0</v>
      </c>
      <c r="L102" s="11"/>
      <c r="O102" s="2"/>
      <c r="P102" s="3"/>
      <c r="R102" s="1">
        <v>3.66</v>
      </c>
      <c r="S102" s="1">
        <v>3.66</v>
      </c>
    </row>
    <row r="103" spans="2:24" ht="72" x14ac:dyDescent="0.3">
      <c r="B103" s="2"/>
      <c r="C103" s="10" t="s">
        <v>152</v>
      </c>
      <c r="D103" s="10" t="s">
        <v>151</v>
      </c>
      <c r="J103" s="60">
        <f>$O$52</f>
        <v>0</v>
      </c>
      <c r="K103" s="11">
        <f>$J$103</f>
        <v>0</v>
      </c>
      <c r="O103" s="2"/>
      <c r="P103" s="3"/>
      <c r="R103" s="1">
        <v>3</v>
      </c>
      <c r="S103" s="1">
        <v>3</v>
      </c>
    </row>
    <row r="104" spans="2:24" ht="36" x14ac:dyDescent="0.3">
      <c r="H104" s="61" t="s">
        <v>109</v>
      </c>
      <c r="I104" s="61">
        <f>I92/0.4+(I95+I97)+I93+I94+J100+J103+J99</f>
        <v>112.5</v>
      </c>
      <c r="J104" s="61">
        <f t="shared" ref="J104" si="33">I104</f>
        <v>112.5</v>
      </c>
      <c r="K104" s="63">
        <f>I104</f>
        <v>112.5</v>
      </c>
      <c r="L104" s="61" t="e">
        <f>L92/0.44+L94+L95</f>
        <v>#DIV/0!</v>
      </c>
      <c r="M104" s="61">
        <f>M92/0.4+M96+M95+M94</f>
        <v>112.5</v>
      </c>
      <c r="N104" s="61">
        <f>N92/0.4+N93+N94+N95+N97+O100</f>
        <v>112.5</v>
      </c>
      <c r="O104" s="1">
        <f>J104</f>
        <v>112.5</v>
      </c>
      <c r="P104" s="1">
        <f>O104</f>
        <v>112.5</v>
      </c>
    </row>
    <row r="106" spans="2:24" ht="36" x14ac:dyDescent="0.3">
      <c r="B106" s="2" t="s">
        <v>3</v>
      </c>
      <c r="C106" s="19" t="s">
        <v>58</v>
      </c>
      <c r="D106" s="19"/>
      <c r="E106" s="19" t="s">
        <v>57</v>
      </c>
      <c r="F106" s="19" t="s">
        <v>54</v>
      </c>
      <c r="G106" s="62" t="s">
        <v>95</v>
      </c>
      <c r="H106" s="1" t="s">
        <v>93</v>
      </c>
      <c r="I106" s="1" t="s">
        <v>94</v>
      </c>
      <c r="M106" s="62" t="s">
        <v>95</v>
      </c>
    </row>
    <row r="107" spans="2:24" ht="36" x14ac:dyDescent="0.3">
      <c r="B107" s="2">
        <v>1</v>
      </c>
      <c r="C107" s="10" t="str">
        <f t="shared" ref="C107:C118" si="34">INDEX(B92:H92,,$C$12)</f>
        <v>Панель KERRAFRONT FS201, 6м</v>
      </c>
      <c r="D107" s="10"/>
      <c r="E107" s="9">
        <f>INDEX(I92:P92,,$C$11)*1.1</f>
        <v>49.500000000000007</v>
      </c>
      <c r="F107" s="18" t="s">
        <v>55</v>
      </c>
      <c r="G107" s="62">
        <f>IF(L107&gt;0,L107,"-")</f>
        <v>49.500000000000007</v>
      </c>
      <c r="H107" s="1">
        <f t="shared" ref="H107:H118" si="35">INDEX(Q92:X92,,$C$11)</f>
        <v>1.08</v>
      </c>
      <c r="I107" s="1">
        <f>CEILING(E107/H107,1)</f>
        <v>46</v>
      </c>
      <c r="K107" s="1">
        <f>IF(TYPE(I107)=1,I107, "-")</f>
        <v>46</v>
      </c>
      <c r="L107" s="11">
        <f>IF(TYPE(E107)=1, E107, "-")</f>
        <v>49.500000000000007</v>
      </c>
      <c r="M107" s="62">
        <f>IF(K107&gt;0,K107,"-")</f>
        <v>46</v>
      </c>
      <c r="N107" s="55" t="e">
        <f>IF(ERROR.TYPE(I107)=3,"считается вручную",M107)</f>
        <v>#N/A</v>
      </c>
    </row>
    <row r="108" spans="2:24" ht="90" x14ac:dyDescent="0.3">
      <c r="B108" s="2">
        <v>2</v>
      </c>
      <c r="C108" s="10" t="str">
        <f t="shared" si="34"/>
        <v>Планка J-trim FS251, 3м</v>
      </c>
      <c r="D108" s="10"/>
      <c r="E108" s="9">
        <f t="shared" ref="E108:E118" si="36">INDEX(I93:P93,,$C$11)*1.05</f>
        <v>0</v>
      </c>
      <c r="F108" s="2" t="s">
        <v>56</v>
      </c>
      <c r="G108" s="62" t="str">
        <f t="shared" ref="G108:G118" si="37">IF(L108&gt;0,L108,"-")</f>
        <v>-</v>
      </c>
      <c r="H108" s="1">
        <f t="shared" si="35"/>
        <v>3</v>
      </c>
      <c r="I108" s="1">
        <f t="shared" ref="I108:I118" si="38">CEILING(E108/H108,1)</f>
        <v>0</v>
      </c>
      <c r="K108" s="1">
        <f t="shared" ref="K108:K118" si="39">IF(TYPE(I108)=1,I108, "-")</f>
        <v>0</v>
      </c>
      <c r="L108" s="11">
        <f t="shared" ref="L108:L118" si="40">IF(TYPE(E108)=1,E108, "-")</f>
        <v>0</v>
      </c>
      <c r="M108" s="62" t="str">
        <f t="shared" ref="M108:M118" si="41">IF(K108&gt;0,K108,"-")</f>
        <v>-</v>
      </c>
      <c r="N108" s="55" t="e">
        <f>IF(ERROR.TYPE(I108)=3,"считается вручную",0)</f>
        <v>#N/A</v>
      </c>
    </row>
    <row r="109" spans="2:24" ht="54" x14ac:dyDescent="0.3">
      <c r="B109" s="2">
        <v>3</v>
      </c>
      <c r="C109" s="10" t="str">
        <f t="shared" si="34"/>
        <v>Планка стартовая FS211, 3м</v>
      </c>
      <c r="D109" s="10"/>
      <c r="E109" s="9">
        <f t="shared" si="36"/>
        <v>15.75</v>
      </c>
      <c r="F109" s="2" t="s">
        <v>56</v>
      </c>
      <c r="G109" s="62">
        <f t="shared" si="37"/>
        <v>15.75</v>
      </c>
      <c r="H109" s="1">
        <f t="shared" si="35"/>
        <v>3</v>
      </c>
      <c r="I109" s="1">
        <f t="shared" si="38"/>
        <v>6</v>
      </c>
      <c r="K109" s="1">
        <f t="shared" si="39"/>
        <v>6</v>
      </c>
      <c r="L109" s="11">
        <f t="shared" si="40"/>
        <v>15.75</v>
      </c>
      <c r="M109" s="62">
        <f t="shared" si="41"/>
        <v>6</v>
      </c>
      <c r="N109" s="55" t="e">
        <f t="shared" ref="N109:N118" si="42">IF(ERROR.TYPE(I109)=3,"считается вручную",M109)</f>
        <v>#N/A</v>
      </c>
    </row>
    <row r="110" spans="2:24" ht="90" x14ac:dyDescent="0.3">
      <c r="B110" s="2">
        <v>4</v>
      </c>
      <c r="C110" s="10" t="str">
        <f t="shared" si="34"/>
        <v>ИЛИ (на выбор) планка соединительная FS282, 3м</v>
      </c>
      <c r="D110" s="10"/>
      <c r="E110" s="9" t="e">
        <f t="shared" si="36"/>
        <v>#DIV/0!</v>
      </c>
      <c r="F110" s="2" t="s">
        <v>56</v>
      </c>
      <c r="G110" s="62" t="str">
        <f t="shared" si="37"/>
        <v>-</v>
      </c>
      <c r="H110" s="1">
        <f t="shared" si="35"/>
        <v>3</v>
      </c>
      <c r="I110" s="1" t="e">
        <f t="shared" si="38"/>
        <v>#DIV/0!</v>
      </c>
      <c r="K110" s="1" t="str">
        <f t="shared" si="39"/>
        <v>-</v>
      </c>
      <c r="L110" s="11" t="str">
        <f t="shared" si="40"/>
        <v>-</v>
      </c>
      <c r="M110" s="62" t="str">
        <f t="shared" si="41"/>
        <v>-</v>
      </c>
      <c r="N110" s="55" t="str">
        <f t="shared" si="42"/>
        <v>-</v>
      </c>
    </row>
    <row r="111" spans="2:24" x14ac:dyDescent="0.3">
      <c r="B111" s="2">
        <v>5</v>
      </c>
      <c r="C111" s="10" t="str">
        <f t="shared" si="34"/>
        <v>ИЛИ (на выбор) планка соединительная J201, 181мм</v>
      </c>
      <c r="D111" s="10"/>
      <c r="E111" s="9">
        <f t="shared" si="36"/>
        <v>0</v>
      </c>
      <c r="F111" s="2" t="s">
        <v>56</v>
      </c>
      <c r="G111" s="62" t="str">
        <f t="shared" si="37"/>
        <v>-</v>
      </c>
      <c r="H111" s="1">
        <f t="shared" si="35"/>
        <v>0.18099999999999999</v>
      </c>
      <c r="I111" s="1">
        <f t="shared" si="38"/>
        <v>0</v>
      </c>
      <c r="K111" s="1">
        <f t="shared" si="39"/>
        <v>0</v>
      </c>
      <c r="L111" s="11">
        <f t="shared" si="40"/>
        <v>0</v>
      </c>
      <c r="M111" s="62" t="str">
        <f t="shared" si="41"/>
        <v>-</v>
      </c>
      <c r="N111" s="55" t="e">
        <f t="shared" si="42"/>
        <v>#N/A</v>
      </c>
    </row>
    <row r="112" spans="2:24" x14ac:dyDescent="0.3">
      <c r="B112" s="2">
        <v>6</v>
      </c>
      <c r="C112" s="10" t="str">
        <f t="shared" si="34"/>
        <v>Планка угол универсальный FS222, 3м</v>
      </c>
      <c r="D112" s="10"/>
      <c r="E112" s="9">
        <f t="shared" si="36"/>
        <v>0</v>
      </c>
      <c r="F112" s="2" t="s">
        <v>56</v>
      </c>
      <c r="G112" s="62" t="str">
        <f t="shared" si="37"/>
        <v>-</v>
      </c>
      <c r="H112" s="1">
        <f t="shared" si="35"/>
        <v>3</v>
      </c>
      <c r="I112" s="1">
        <f t="shared" si="38"/>
        <v>0</v>
      </c>
      <c r="K112" s="1">
        <f t="shared" si="39"/>
        <v>0</v>
      </c>
      <c r="L112" s="11">
        <f t="shared" si="40"/>
        <v>0</v>
      </c>
      <c r="M112" s="62" t="str">
        <f t="shared" si="41"/>
        <v>-</v>
      </c>
      <c r="N112" s="55" t="e">
        <f t="shared" si="42"/>
        <v>#N/A</v>
      </c>
    </row>
    <row r="113" spans="2:14" x14ac:dyDescent="0.3">
      <c r="B113" s="2">
        <v>7</v>
      </c>
      <c r="C113" s="10" t="str">
        <f t="shared" si="34"/>
        <v>Планка финишная FS252 (можно заменить на FS 251), 3м</v>
      </c>
      <c r="D113" s="10"/>
      <c r="E113" s="9">
        <f t="shared" si="36"/>
        <v>0</v>
      </c>
      <c r="F113" s="2" t="s">
        <v>56</v>
      </c>
      <c r="G113" s="62" t="str">
        <f t="shared" si="37"/>
        <v>-</v>
      </c>
      <c r="H113" s="1">
        <f t="shared" si="35"/>
        <v>3</v>
      </c>
      <c r="I113" s="1">
        <f t="shared" si="38"/>
        <v>0</v>
      </c>
      <c r="K113" s="1">
        <f t="shared" si="39"/>
        <v>0</v>
      </c>
      <c r="L113" s="11">
        <f t="shared" si="40"/>
        <v>0</v>
      </c>
      <c r="M113" s="62" t="str">
        <f t="shared" si="41"/>
        <v>-</v>
      </c>
      <c r="N113" s="55" t="e">
        <f t="shared" si="42"/>
        <v>#N/A</v>
      </c>
    </row>
    <row r="114" spans="2:14" x14ac:dyDescent="0.3">
      <c r="B114" s="2">
        <v>8</v>
      </c>
      <c r="C114" s="10" t="str">
        <f t="shared" si="34"/>
        <v>Монтажный винт Inox</v>
      </c>
      <c r="D114" s="10"/>
      <c r="E114" s="9">
        <f t="shared" si="36"/>
        <v>708.75</v>
      </c>
      <c r="F114" s="2" t="s">
        <v>56</v>
      </c>
      <c r="G114" s="62">
        <f t="shared" si="37"/>
        <v>708.75</v>
      </c>
      <c r="H114" s="1">
        <f t="shared" si="35"/>
        <v>1</v>
      </c>
      <c r="I114" s="1">
        <f>CEILING(E114/H114,1)</f>
        <v>709</v>
      </c>
      <c r="K114" s="1">
        <f t="shared" si="39"/>
        <v>709</v>
      </c>
      <c r="L114" s="11">
        <f t="shared" si="40"/>
        <v>708.75</v>
      </c>
      <c r="M114" s="62">
        <f t="shared" si="41"/>
        <v>709</v>
      </c>
      <c r="N114" s="55" t="e">
        <f t="shared" si="42"/>
        <v>#N/A</v>
      </c>
    </row>
    <row r="115" spans="2:14" x14ac:dyDescent="0.3">
      <c r="B115" s="2">
        <v>9</v>
      </c>
      <c r="C115" s="10">
        <f t="shared" si="34"/>
        <v>0</v>
      </c>
      <c r="D115" s="10"/>
      <c r="E115" s="9">
        <f t="shared" si="36"/>
        <v>0</v>
      </c>
      <c r="F115" s="2" t="s">
        <v>56</v>
      </c>
      <c r="G115" s="62" t="str">
        <f t="shared" si="37"/>
        <v>-</v>
      </c>
      <c r="H115" s="1">
        <f t="shared" si="35"/>
        <v>0</v>
      </c>
      <c r="I115" s="1" t="e">
        <f t="shared" si="38"/>
        <v>#DIV/0!</v>
      </c>
      <c r="K115" s="1" t="str">
        <f t="shared" si="39"/>
        <v>-</v>
      </c>
      <c r="L115" s="11">
        <f t="shared" si="40"/>
        <v>0</v>
      </c>
      <c r="M115" s="62" t="str">
        <f t="shared" si="41"/>
        <v>-</v>
      </c>
      <c r="N115" s="55" t="str">
        <f t="shared" si="42"/>
        <v>-</v>
      </c>
    </row>
    <row r="116" spans="2:14" x14ac:dyDescent="0.3">
      <c r="B116" s="2">
        <v>10</v>
      </c>
      <c r="C116" s="10">
        <f t="shared" si="34"/>
        <v>0</v>
      </c>
      <c r="D116" s="10"/>
      <c r="E116" s="9">
        <f t="shared" si="36"/>
        <v>0</v>
      </c>
      <c r="F116" s="2" t="s">
        <v>56</v>
      </c>
      <c r="G116" s="62" t="str">
        <f t="shared" si="37"/>
        <v>-</v>
      </c>
      <c r="H116" s="1">
        <f t="shared" si="35"/>
        <v>0</v>
      </c>
      <c r="I116" s="1" t="e">
        <f t="shared" si="38"/>
        <v>#DIV/0!</v>
      </c>
      <c r="K116" s="1" t="str">
        <f t="shared" si="39"/>
        <v>-</v>
      </c>
      <c r="L116" s="11">
        <f t="shared" si="40"/>
        <v>0</v>
      </c>
      <c r="M116" s="62" t="str">
        <f t="shared" si="41"/>
        <v>-</v>
      </c>
      <c r="N116" s="55" t="str">
        <f t="shared" si="42"/>
        <v>-</v>
      </c>
    </row>
    <row r="117" spans="2:14" x14ac:dyDescent="0.3">
      <c r="B117" s="2">
        <v>11</v>
      </c>
      <c r="C117" s="10">
        <f t="shared" si="34"/>
        <v>0</v>
      </c>
      <c r="D117" s="10"/>
      <c r="E117" s="9">
        <f t="shared" si="36"/>
        <v>0</v>
      </c>
      <c r="F117" s="2" t="s">
        <v>56</v>
      </c>
      <c r="G117" s="62" t="str">
        <f t="shared" si="37"/>
        <v>-</v>
      </c>
      <c r="H117" s="1">
        <f t="shared" si="35"/>
        <v>0</v>
      </c>
      <c r="I117" s="1" t="e">
        <f>CEILING(E117/H117,1)</f>
        <v>#DIV/0!</v>
      </c>
      <c r="K117" s="1" t="str">
        <f t="shared" si="39"/>
        <v>-</v>
      </c>
      <c r="L117" s="11">
        <f t="shared" si="40"/>
        <v>0</v>
      </c>
      <c r="M117" s="62" t="str">
        <f t="shared" si="41"/>
        <v>-</v>
      </c>
      <c r="N117" s="55" t="str">
        <f t="shared" si="42"/>
        <v>-</v>
      </c>
    </row>
    <row r="118" spans="2:14" x14ac:dyDescent="0.3">
      <c r="B118" s="2">
        <v>12</v>
      </c>
      <c r="C118" s="10">
        <f t="shared" si="34"/>
        <v>0</v>
      </c>
      <c r="D118" s="10"/>
      <c r="E118" s="9">
        <f t="shared" si="36"/>
        <v>0</v>
      </c>
      <c r="F118" s="2" t="s">
        <v>56</v>
      </c>
      <c r="G118" s="62" t="str">
        <f t="shared" si="37"/>
        <v>-</v>
      </c>
      <c r="H118" s="1">
        <f t="shared" si="35"/>
        <v>0</v>
      </c>
      <c r="I118" s="1" t="e">
        <f t="shared" si="38"/>
        <v>#DIV/0!</v>
      </c>
      <c r="K118" s="1" t="str">
        <f t="shared" si="39"/>
        <v>-</v>
      </c>
      <c r="L118" s="11">
        <f t="shared" si="40"/>
        <v>0</v>
      </c>
      <c r="M118" s="62" t="str">
        <f t="shared" si="41"/>
        <v>-</v>
      </c>
      <c r="N118" s="55" t="str">
        <f t="shared" si="42"/>
        <v>-</v>
      </c>
    </row>
    <row r="814" spans="15:15" x14ac:dyDescent="0.3">
      <c r="O814" s="1" t="b">
        <v>1</v>
      </c>
    </row>
    <row r="8083" spans="15:15" x14ac:dyDescent="0.3">
      <c r="O8083" s="1" t="b">
        <v>1</v>
      </c>
    </row>
    <row r="8386" spans="15:15" x14ac:dyDescent="0.3">
      <c r="O8386" s="1" t="b">
        <v>1</v>
      </c>
    </row>
    <row r="8487" spans="15:15" x14ac:dyDescent="0.3">
      <c r="O8487" s="1" t="b">
        <v>1</v>
      </c>
    </row>
  </sheetData>
  <mergeCells count="8">
    <mergeCell ref="N81:P81"/>
    <mergeCell ref="B72:F72"/>
    <mergeCell ref="B81:F81"/>
    <mergeCell ref="B31:F31"/>
    <mergeCell ref="B17:F17"/>
    <mergeCell ref="B40:F40"/>
    <mergeCell ref="B54:F54"/>
    <mergeCell ref="B63:F63"/>
  </mergeCells>
  <pageMargins left="0.7" right="0.7" top="0.75" bottom="0.75" header="0.3" footer="0.3"/>
  <pageSetup paperSize="9" orientation="portrait" horizontalDpi="180" verticalDpi="18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B050"/>
  </sheetPr>
  <dimension ref="B4:P29"/>
  <sheetViews>
    <sheetView topLeftCell="A6" workbookViewId="0">
      <selection activeCell="C18" sqref="C18"/>
    </sheetView>
  </sheetViews>
  <sheetFormatPr defaultColWidth="9.109375" defaultRowHeight="18" x14ac:dyDescent="0.3"/>
  <cols>
    <col min="1" max="1" width="5.109375" style="1" customWidth="1"/>
    <col min="2" max="2" width="5.6640625" style="1" customWidth="1"/>
    <col min="3" max="3" width="86.5546875" style="1" customWidth="1"/>
    <col min="4" max="4" width="8.6640625" style="1" customWidth="1"/>
    <col min="5" max="5" width="6.5546875" style="1" customWidth="1"/>
    <col min="6" max="6" width="6.88671875" style="1" customWidth="1"/>
    <col min="7" max="7" width="24.5546875" style="1" customWidth="1"/>
    <col min="8" max="11" width="9.109375" style="1"/>
    <col min="12" max="12" width="11" style="1" customWidth="1"/>
    <col min="13" max="14" width="9.109375" style="1"/>
    <col min="15" max="15" width="9.5546875" style="1" bestFit="1" customWidth="1"/>
    <col min="16" max="16" width="14.88671875" style="1" bestFit="1" customWidth="1"/>
    <col min="17" max="16384" width="9.109375" style="1"/>
  </cols>
  <sheetData>
    <row r="4" spans="2:16" x14ac:dyDescent="0.3">
      <c r="B4" s="79">
        <f ca="1">TODAY()</f>
        <v>45513</v>
      </c>
      <c r="C4" s="73"/>
    </row>
    <row r="5" spans="2:16" ht="18.75" customHeight="1" x14ac:dyDescent="0.3">
      <c r="B5" s="80" t="s">
        <v>65</v>
      </c>
      <c r="C5" s="81"/>
      <c r="D5" s="81"/>
      <c r="E5" s="81"/>
      <c r="F5" s="81"/>
      <c r="G5" s="82"/>
    </row>
    <row r="6" spans="2:16" ht="55.5" customHeight="1" x14ac:dyDescent="0.3">
      <c r="B6" s="52" t="s">
        <v>3</v>
      </c>
      <c r="C6" s="52" t="s">
        <v>58</v>
      </c>
      <c r="D6" s="83" t="s">
        <v>97</v>
      </c>
      <c r="E6" s="84"/>
      <c r="F6" s="85"/>
      <c r="G6" s="56" t="s">
        <v>96</v>
      </c>
    </row>
    <row r="7" spans="2:16" ht="20.25" customHeight="1" x14ac:dyDescent="0.3">
      <c r="B7" s="53">
        <v>1</v>
      </c>
      <c r="C7" s="57" t="str">
        <f>Программа!C107</f>
        <v>Панель KERRAFRONT FS201, 6м</v>
      </c>
      <c r="D7" s="76">
        <f>IF(TYPE(Программа!G107)=1,Программа!G107,"-")</f>
        <v>49.500000000000007</v>
      </c>
      <c r="E7" s="77"/>
      <c r="F7" s="78"/>
      <c r="G7" s="58">
        <f>IF(AND(TYPE(D7)=1,Программа!M107="-"),"считать вручную",Программа!M107)</f>
        <v>46</v>
      </c>
    </row>
    <row r="8" spans="2:16" x14ac:dyDescent="0.3">
      <c r="B8" s="53">
        <v>2</v>
      </c>
      <c r="C8" s="57" t="str">
        <f>Программа!C108</f>
        <v>Планка J-trim FS251, 3м</v>
      </c>
      <c r="D8" s="76" t="str">
        <f>IF(TYPE(Программа!G108)=1,Программа!G108,"-")</f>
        <v>-</v>
      </c>
      <c r="E8" s="77"/>
      <c r="F8" s="78"/>
      <c r="G8" s="58" t="str">
        <f>IF(AND(TYPE(D8)=1,Программа!M108="-"),"считать вручную",Программа!M108)</f>
        <v>-</v>
      </c>
    </row>
    <row r="9" spans="2:16" x14ac:dyDescent="0.3">
      <c r="B9" s="53">
        <v>3</v>
      </c>
      <c r="C9" s="57" t="str">
        <f>Программа!C109</f>
        <v>Планка стартовая FS211, 3м</v>
      </c>
      <c r="D9" s="76">
        <f>IF(TYPE(Программа!G109)=1,Программа!G109,"-")</f>
        <v>15.75</v>
      </c>
      <c r="E9" s="77"/>
      <c r="F9" s="78"/>
      <c r="G9" s="58">
        <f>IF(AND(TYPE(D9)=1,Программа!M109="-"),"считать вручную",Программа!M109)</f>
        <v>6</v>
      </c>
    </row>
    <row r="10" spans="2:16" x14ac:dyDescent="0.3">
      <c r="B10" s="53">
        <v>4</v>
      </c>
      <c r="C10" s="57" t="str">
        <f>Программа!C110</f>
        <v>ИЛИ (на выбор) планка соединительная FS282, 3м</v>
      </c>
      <c r="D10" s="76" t="str">
        <f>IF(TYPE(Программа!G110)=1,Программа!G110,"-")</f>
        <v>-</v>
      </c>
      <c r="E10" s="77"/>
      <c r="F10" s="78"/>
      <c r="G10" s="58" t="str">
        <f>IF(AND(TYPE(D10)=1,Программа!M110="-"),"считать вручную",Программа!M110)</f>
        <v>-</v>
      </c>
      <c r="P10" s="28"/>
    </row>
    <row r="11" spans="2:16" x14ac:dyDescent="0.3">
      <c r="B11" s="53">
        <v>5</v>
      </c>
      <c r="C11" s="57" t="str">
        <f>Программа!C111</f>
        <v>ИЛИ (на выбор) планка соединительная J201, 181мм</v>
      </c>
      <c r="D11" s="76" t="str">
        <f>IF(TYPE(Программа!G111)=1,Программа!G111,"-")</f>
        <v>-</v>
      </c>
      <c r="E11" s="77"/>
      <c r="F11" s="78"/>
      <c r="G11" s="58" t="str">
        <f>IF(AND(TYPE(D11)=1,Программа!M111="-"),"считать вручную",Программа!M111)</f>
        <v>-</v>
      </c>
      <c r="P11" s="28"/>
    </row>
    <row r="12" spans="2:16" x14ac:dyDescent="0.3">
      <c r="B12" s="53">
        <v>6</v>
      </c>
      <c r="C12" s="57" t="str">
        <f>Программа!C112</f>
        <v>Планка угол универсальный FS222, 3м</v>
      </c>
      <c r="D12" s="76" t="str">
        <f>IF(TYPE(Программа!G112)=1,Программа!G112,"-")</f>
        <v>-</v>
      </c>
      <c r="E12" s="77"/>
      <c r="F12" s="78"/>
      <c r="G12" s="58" t="str">
        <f>IF(AND(TYPE(D12)=1,Программа!M112="-"),"считать вручную",Программа!M112)</f>
        <v>-</v>
      </c>
    </row>
    <row r="13" spans="2:16" x14ac:dyDescent="0.3">
      <c r="B13" s="53">
        <v>7</v>
      </c>
      <c r="C13" s="57" t="str">
        <f>Программа!C113</f>
        <v>Планка финишная FS252 (можно заменить на FS 251), 3м</v>
      </c>
      <c r="D13" s="76" t="str">
        <f>IF(TYPE(Программа!G113)=1,Программа!G113,"-")</f>
        <v>-</v>
      </c>
      <c r="E13" s="77"/>
      <c r="F13" s="78"/>
      <c r="G13" s="58" t="str">
        <f>IF(AND(TYPE(D13)=1,Программа!M113="-"),"считать вручную",Программа!M113)</f>
        <v>-</v>
      </c>
    </row>
    <row r="14" spans="2:16" x14ac:dyDescent="0.3">
      <c r="B14" s="53">
        <v>8</v>
      </c>
      <c r="C14" s="57" t="str">
        <f>Программа!C114</f>
        <v>Монтажный винт Inox</v>
      </c>
      <c r="D14" s="76">
        <f>IF(TYPE(Программа!G114)=1,Программа!G114,"-")</f>
        <v>708.75</v>
      </c>
      <c r="E14" s="77"/>
      <c r="F14" s="78"/>
      <c r="G14" s="58">
        <f>IF(AND(TYPE(D14)=1,Программа!M114="-"),"считать вручную",Программа!M114)</f>
        <v>709</v>
      </c>
    </row>
    <row r="15" spans="2:16" x14ac:dyDescent="0.3">
      <c r="B15" s="53">
        <v>9</v>
      </c>
      <c r="C15" s="57">
        <f>Программа!C115</f>
        <v>0</v>
      </c>
      <c r="D15" s="76" t="str">
        <f>IF(TYPE(Программа!G115)=1,Программа!G115,"-")</f>
        <v>-</v>
      </c>
      <c r="E15" s="77"/>
      <c r="F15" s="78"/>
      <c r="G15" s="58" t="str">
        <f>IF(AND(TYPE(D15)=1,Программа!M115="-"),"считать вручную",Программа!M115)</f>
        <v>-</v>
      </c>
    </row>
    <row r="16" spans="2:16" x14ac:dyDescent="0.3">
      <c r="B16" s="53">
        <v>10</v>
      </c>
      <c r="C16" s="57">
        <f>Программа!C116</f>
        <v>0</v>
      </c>
      <c r="D16" s="76" t="str">
        <f>IF(TYPE(Программа!G116)=1,Программа!G116,"-")</f>
        <v>-</v>
      </c>
      <c r="E16" s="77"/>
      <c r="F16" s="78"/>
      <c r="G16" s="58" t="str">
        <f>IF(AND(TYPE(D16)=1,Программа!M116="-"),"считать вручную",Программа!M116)</f>
        <v>-</v>
      </c>
    </row>
    <row r="17" spans="2:7" x14ac:dyDescent="0.3">
      <c r="B17" s="53">
        <v>11</v>
      </c>
      <c r="C17" s="57">
        <f>Программа!C117</f>
        <v>0</v>
      </c>
      <c r="D17" s="76" t="str">
        <f>IF(TYPE(Программа!G117)=1,Программа!G117,"-")</f>
        <v>-</v>
      </c>
      <c r="E17" s="77"/>
      <c r="F17" s="78"/>
      <c r="G17" s="58" t="str">
        <f>IF(AND(TYPE(D17)=1,Программа!M117="-"),"считать вручную",Программа!M117)</f>
        <v>-</v>
      </c>
    </row>
    <row r="18" spans="2:7" x14ac:dyDescent="0.3">
      <c r="B18" s="53">
        <v>12</v>
      </c>
      <c r="C18" s="57">
        <f>Программа!C118</f>
        <v>0</v>
      </c>
      <c r="D18" s="76" t="str">
        <f>IF(TYPE(Программа!G118)=1,Программа!G118,"-")</f>
        <v>-</v>
      </c>
      <c r="E18" s="77"/>
      <c r="F18" s="78"/>
      <c r="G18" s="58" t="str">
        <f>IF(AND(TYPE(D18)=1,Программа!M118="-"),"считать вручную",Программа!M118)</f>
        <v>-</v>
      </c>
    </row>
    <row r="19" spans="2:7" x14ac:dyDescent="0.3">
      <c r="B19" s="53">
        <v>13</v>
      </c>
      <c r="C19" s="57" t="s">
        <v>107</v>
      </c>
      <c r="D19" s="76">
        <f>Программа!E107*1.08/1.1</f>
        <v>48.6</v>
      </c>
      <c r="E19" s="77"/>
      <c r="F19" s="78"/>
      <c r="G19" s="53" t="s">
        <v>63</v>
      </c>
    </row>
    <row r="20" spans="2:7" x14ac:dyDescent="0.3">
      <c r="B20" s="53">
        <v>14</v>
      </c>
      <c r="C20" s="57" t="s">
        <v>112</v>
      </c>
      <c r="D20" s="76">
        <f>Программа!E107</f>
        <v>49.500000000000007</v>
      </c>
      <c r="E20" s="77"/>
      <c r="F20" s="78"/>
      <c r="G20" s="53" t="s">
        <v>63</v>
      </c>
    </row>
    <row r="21" spans="2:7" x14ac:dyDescent="0.3">
      <c r="B21" s="53">
        <v>15</v>
      </c>
      <c r="C21" s="57" t="s">
        <v>108</v>
      </c>
      <c r="D21" s="76" t="e">
        <f>INDEX(Программа!I104:P104,,Программа!C11)</f>
        <v>#DIV/0!</v>
      </c>
      <c r="E21" s="77"/>
      <c r="F21" s="78"/>
      <c r="G21" s="53" t="s">
        <v>63</v>
      </c>
    </row>
    <row r="23" spans="2:7" ht="23.25" customHeight="1" x14ac:dyDescent="0.3">
      <c r="B23" s="73" t="s">
        <v>98</v>
      </c>
      <c r="C23" s="73"/>
      <c r="D23" s="73"/>
      <c r="E23" s="73"/>
      <c r="F23" s="73"/>
      <c r="G23" s="73"/>
    </row>
    <row r="24" spans="2:7" ht="18.75" customHeight="1" x14ac:dyDescent="0.3">
      <c r="B24" s="86" t="s">
        <v>154</v>
      </c>
      <c r="C24" s="86"/>
      <c r="D24" s="86"/>
      <c r="E24" s="86"/>
      <c r="F24" s="86"/>
      <c r="G24" s="86"/>
    </row>
    <row r="25" spans="2:7" x14ac:dyDescent="0.3">
      <c r="B25" s="86"/>
      <c r="C25" s="86"/>
      <c r="D25" s="86"/>
      <c r="E25" s="86"/>
      <c r="F25" s="86"/>
      <c r="G25" s="86"/>
    </row>
    <row r="26" spans="2:7" x14ac:dyDescent="0.3">
      <c r="B26" s="86"/>
      <c r="C26" s="86"/>
      <c r="D26" s="86"/>
      <c r="E26" s="86"/>
      <c r="F26" s="86"/>
      <c r="G26" s="86"/>
    </row>
    <row r="27" spans="2:7" x14ac:dyDescent="0.3">
      <c r="B27" s="86"/>
      <c r="C27" s="86"/>
      <c r="D27" s="86"/>
      <c r="E27" s="86"/>
      <c r="F27" s="86"/>
      <c r="G27" s="86"/>
    </row>
    <row r="28" spans="2:7" x14ac:dyDescent="0.3">
      <c r="B28" s="86"/>
      <c r="C28" s="86"/>
      <c r="D28" s="86"/>
      <c r="E28" s="86"/>
      <c r="F28" s="86"/>
      <c r="G28" s="86"/>
    </row>
    <row r="29" spans="2:7" x14ac:dyDescent="0.3">
      <c r="B29" s="86"/>
      <c r="C29" s="86"/>
      <c r="D29" s="86"/>
      <c r="E29" s="86"/>
      <c r="F29" s="86"/>
      <c r="G29" s="86"/>
    </row>
  </sheetData>
  <mergeCells count="20">
    <mergeCell ref="D19:F19"/>
    <mergeCell ref="D20:F20"/>
    <mergeCell ref="D21:F21"/>
    <mergeCell ref="B23:G23"/>
    <mergeCell ref="B24:G29"/>
    <mergeCell ref="D18:F18"/>
    <mergeCell ref="D16:F16"/>
    <mergeCell ref="D17:F17"/>
    <mergeCell ref="B4:C4"/>
    <mergeCell ref="B5:G5"/>
    <mergeCell ref="D11:F11"/>
    <mergeCell ref="D12:F12"/>
    <mergeCell ref="D13:F13"/>
    <mergeCell ref="D14:F14"/>
    <mergeCell ref="D15:F15"/>
    <mergeCell ref="D6:F6"/>
    <mergeCell ref="D7:F7"/>
    <mergeCell ref="D8:F8"/>
    <mergeCell ref="D9:F9"/>
    <mergeCell ref="D10:F10"/>
  </mergeCells>
  <pageMargins left="0.70866141732283472" right="0.70866141732283472" top="0.74803149606299213" bottom="0.74803149606299213" header="0.31496062992125984" footer="0.31496062992125984"/>
  <pageSetup paperSize="9" orientation="landscape" horizontalDpi="180" verticalDpi="18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C57445-4406-4FD5-A608-D79A4EB39892}">
  <dimension ref="B1:E23"/>
  <sheetViews>
    <sheetView tabSelected="1" workbookViewId="0">
      <selection activeCell="E23" sqref="E23"/>
    </sheetView>
  </sheetViews>
  <sheetFormatPr defaultRowHeight="14.4" x14ac:dyDescent="0.3"/>
  <cols>
    <col min="2" max="2" width="73.109375" customWidth="1"/>
    <col min="5" max="5" width="54.77734375" customWidth="1"/>
  </cols>
  <sheetData>
    <row r="1" spans="2:5" x14ac:dyDescent="0.3">
      <c r="B1" s="91" t="s">
        <v>170</v>
      </c>
      <c r="C1" s="91"/>
      <c r="D1" s="91"/>
    </row>
    <row r="2" spans="2:5" x14ac:dyDescent="0.3">
      <c r="B2" s="87" t="s">
        <v>164</v>
      </c>
      <c r="C2" s="90" t="s">
        <v>166</v>
      </c>
      <c r="D2" s="90" t="s">
        <v>167</v>
      </c>
    </row>
    <row r="3" spans="2:5" x14ac:dyDescent="0.3">
      <c r="B3" s="88" t="s">
        <v>123</v>
      </c>
      <c r="C3" s="89">
        <v>12.7</v>
      </c>
      <c r="D3" s="89">
        <v>4.3</v>
      </c>
    </row>
    <row r="4" spans="2:5" x14ac:dyDescent="0.3">
      <c r="B4" s="88" t="s">
        <v>162</v>
      </c>
      <c r="C4" s="89" t="s">
        <v>63</v>
      </c>
      <c r="D4" s="89">
        <v>15</v>
      </c>
      <c r="E4" t="s">
        <v>173</v>
      </c>
    </row>
    <row r="5" spans="2:5" x14ac:dyDescent="0.3">
      <c r="B5" s="88" t="s">
        <v>163</v>
      </c>
      <c r="C5" s="89">
        <v>4.4800000000000004</v>
      </c>
      <c r="D5" s="89">
        <v>2</v>
      </c>
    </row>
    <row r="6" spans="2:5" x14ac:dyDescent="0.3">
      <c r="B6" s="88" t="s">
        <v>165</v>
      </c>
      <c r="C6" s="89">
        <v>12.54</v>
      </c>
      <c r="D6" s="89">
        <v>5</v>
      </c>
      <c r="E6" t="s">
        <v>175</v>
      </c>
    </row>
    <row r="7" spans="2:5" x14ac:dyDescent="0.3">
      <c r="B7" s="88" t="s">
        <v>169</v>
      </c>
      <c r="C7" s="89">
        <v>17.02</v>
      </c>
      <c r="D7" s="89">
        <v>6</v>
      </c>
    </row>
    <row r="8" spans="2:5" ht="6" customHeight="1" x14ac:dyDescent="0.3"/>
    <row r="9" spans="2:5" x14ac:dyDescent="0.3">
      <c r="B9" s="87" t="s">
        <v>168</v>
      </c>
      <c r="C9" s="90" t="s">
        <v>166</v>
      </c>
      <c r="D9" s="90" t="s">
        <v>167</v>
      </c>
    </row>
    <row r="10" spans="2:5" x14ac:dyDescent="0.3">
      <c r="B10" s="88" t="s">
        <v>161</v>
      </c>
      <c r="C10" s="89">
        <v>12.7</v>
      </c>
      <c r="D10" s="89">
        <v>4.2300000000000004</v>
      </c>
      <c r="E10" t="s">
        <v>172</v>
      </c>
    </row>
    <row r="11" spans="2:5" x14ac:dyDescent="0.3">
      <c r="B11" s="88" t="s">
        <v>162</v>
      </c>
      <c r="C11" s="89" t="s">
        <v>63</v>
      </c>
      <c r="D11" s="89">
        <v>24</v>
      </c>
    </row>
    <row r="12" spans="2:5" x14ac:dyDescent="0.3">
      <c r="B12" s="88" t="s">
        <v>163</v>
      </c>
      <c r="C12" s="89">
        <v>5.47</v>
      </c>
      <c r="D12" s="89">
        <v>1.82</v>
      </c>
    </row>
    <row r="13" spans="2:5" x14ac:dyDescent="0.3">
      <c r="B13" s="88" t="s">
        <v>165</v>
      </c>
      <c r="C13" s="89">
        <v>5.0999999999999996</v>
      </c>
      <c r="D13" s="89">
        <v>1.7</v>
      </c>
      <c r="E13" t="s">
        <v>175</v>
      </c>
    </row>
    <row r="14" spans="2:5" x14ac:dyDescent="0.3">
      <c r="B14" s="88" t="s">
        <v>169</v>
      </c>
      <c r="C14" s="89">
        <v>12.12</v>
      </c>
      <c r="D14" s="89">
        <v>4.04</v>
      </c>
    </row>
    <row r="16" spans="2:5" x14ac:dyDescent="0.3">
      <c r="B16" s="91" t="s">
        <v>171</v>
      </c>
      <c r="C16" s="91"/>
      <c r="D16" s="91"/>
    </row>
    <row r="17" spans="2:5" x14ac:dyDescent="0.3">
      <c r="B17" s="87" t="s">
        <v>168</v>
      </c>
      <c r="C17" s="90" t="s">
        <v>166</v>
      </c>
      <c r="D17" s="90" t="s">
        <v>167</v>
      </c>
    </row>
    <row r="18" spans="2:5" x14ac:dyDescent="0.3">
      <c r="B18" s="88" t="s">
        <v>123</v>
      </c>
      <c r="C18" s="89">
        <v>19.2</v>
      </c>
      <c r="D18" s="89">
        <v>6.4</v>
      </c>
      <c r="E18" t="s">
        <v>172</v>
      </c>
    </row>
    <row r="19" spans="2:5" x14ac:dyDescent="0.3">
      <c r="B19" s="88" t="s">
        <v>162</v>
      </c>
      <c r="C19" s="89" t="s">
        <v>63</v>
      </c>
      <c r="D19" s="89">
        <v>13</v>
      </c>
    </row>
    <row r="20" spans="2:5" x14ac:dyDescent="0.3">
      <c r="B20" s="88" t="s">
        <v>163</v>
      </c>
      <c r="C20" s="89">
        <v>0.5</v>
      </c>
      <c r="D20" s="89">
        <v>0.17</v>
      </c>
    </row>
    <row r="21" spans="2:5" x14ac:dyDescent="0.3">
      <c r="B21" s="88" t="s">
        <v>174</v>
      </c>
      <c r="C21" s="89">
        <v>26</v>
      </c>
      <c r="D21" s="89">
        <v>8.6999999999999993</v>
      </c>
      <c r="E21" t="s">
        <v>175</v>
      </c>
    </row>
    <row r="22" spans="2:5" x14ac:dyDescent="0.3">
      <c r="B22" s="88" t="s">
        <v>169</v>
      </c>
      <c r="C22" s="89">
        <v>26</v>
      </c>
      <c r="D22" s="89">
        <v>8.6999999999999993</v>
      </c>
      <c r="E22" t="s">
        <v>176</v>
      </c>
    </row>
    <row r="23" spans="2:5" x14ac:dyDescent="0.3">
      <c r="B23" s="88" t="s">
        <v>161</v>
      </c>
      <c r="C23" s="89">
        <v>18</v>
      </c>
      <c r="D23" s="89">
        <v>6</v>
      </c>
      <c r="E23" t="s">
        <v>172</v>
      </c>
    </row>
  </sheetData>
  <mergeCells count="2">
    <mergeCell ref="B1:D1"/>
    <mergeCell ref="B16:D16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B3"/>
  <sheetViews>
    <sheetView workbookViewId="0">
      <selection activeCell="G15" sqref="G15"/>
    </sheetView>
  </sheetViews>
  <sheetFormatPr defaultRowHeight="14.4" x14ac:dyDescent="0.3"/>
  <cols>
    <col min="2" max="2" width="35" customWidth="1"/>
  </cols>
  <sheetData>
    <row r="1" spans="1:2" x14ac:dyDescent="0.3">
      <c r="A1" t="s">
        <v>3</v>
      </c>
      <c r="B1" t="s">
        <v>68</v>
      </c>
    </row>
    <row r="2" spans="1:2" x14ac:dyDescent="0.3">
      <c r="A2">
        <v>1</v>
      </c>
      <c r="B2">
        <v>5092014</v>
      </c>
    </row>
    <row r="3" spans="1:2" x14ac:dyDescent="0.3">
      <c r="A3">
        <v>2</v>
      </c>
      <c r="B3" t="s">
        <v>106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theme="9" tint="0.59999389629810485"/>
  </sheetPr>
  <dimension ref="A1:A7"/>
  <sheetViews>
    <sheetView topLeftCell="A16" workbookViewId="0">
      <selection activeCell="A34" sqref="A34"/>
    </sheetView>
  </sheetViews>
  <sheetFormatPr defaultRowHeight="14.4" x14ac:dyDescent="0.3"/>
  <cols>
    <col min="1" max="1" width="43.33203125" customWidth="1"/>
  </cols>
  <sheetData>
    <row r="1" spans="1:1" x14ac:dyDescent="0.3">
      <c r="A1" t="s">
        <v>99</v>
      </c>
    </row>
    <row r="2" spans="1:1" x14ac:dyDescent="0.3">
      <c r="A2" t="s">
        <v>100</v>
      </c>
    </row>
    <row r="3" spans="1:1" ht="33" customHeight="1" x14ac:dyDescent="0.3">
      <c r="A3" s="59" t="s">
        <v>101</v>
      </c>
    </row>
    <row r="4" spans="1:1" ht="48.75" customHeight="1" x14ac:dyDescent="0.3">
      <c r="A4" s="59" t="s">
        <v>102</v>
      </c>
    </row>
    <row r="5" spans="1:1" ht="29.25" customHeight="1" x14ac:dyDescent="0.3">
      <c r="A5" s="59" t="s">
        <v>103</v>
      </c>
    </row>
    <row r="6" spans="1:1" ht="29.25" customHeight="1" x14ac:dyDescent="0.3">
      <c r="A6" s="59" t="s">
        <v>104</v>
      </c>
    </row>
    <row r="7" spans="1:1" ht="18.75" customHeight="1" x14ac:dyDescent="0.3">
      <c r="A7" s="59" t="s">
        <v>105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Аркуші</vt:lpstr>
      </vt:variant>
      <vt:variant>
        <vt:i4>6</vt:i4>
      </vt:variant>
      <vt:variant>
        <vt:lpstr>Іменовані діапазони</vt:lpstr>
      </vt:variant>
      <vt:variant>
        <vt:i4>1</vt:i4>
      </vt:variant>
    </vt:vector>
  </HeadingPairs>
  <TitlesOfParts>
    <vt:vector size="7" baseType="lpstr">
      <vt:lpstr>Исходные</vt:lpstr>
      <vt:lpstr>Программа</vt:lpstr>
      <vt:lpstr>Результат</vt:lpstr>
      <vt:lpstr>Аркуш1</vt:lpstr>
      <vt:lpstr>Версия</vt:lpstr>
      <vt:lpstr>Как включить макрос</vt:lpstr>
      <vt:lpstr>Результат!Область_друку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2006-09-28T05:33:49Z</dcterms:created>
  <dcterms:modified xsi:type="dcterms:W3CDTF">2024-08-09T10:47:11Z</dcterms:modified>
</cp:coreProperties>
</file>