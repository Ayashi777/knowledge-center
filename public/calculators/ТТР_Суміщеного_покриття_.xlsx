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urilo\Desktop\КАЛЬК\калькуляторы ТТР обновление\"/>
    </mc:Choice>
  </mc:AlternateContent>
  <xr:revisionPtr revIDLastSave="0" documentId="13_ncr:1_{AD7E1323-17DF-4A59-A862-575D97EE3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ихідні дані" sheetId="3" r:id="rId1"/>
    <sheet name="Облицювання" sheetId="5" state="hidden" r:id="rId2"/>
    <sheet name="Несуча_покриття" sheetId="11" state="hidden" r:id="rId3"/>
    <sheet name="Ухил" sheetId="12" r:id="rId4"/>
    <sheet name="Гидроіз" sheetId="13" state="hidden" r:id="rId5"/>
    <sheet name="Утеплювач" sheetId="7" state="hidden" r:id="rId6"/>
    <sheet name="Зовніш_облиц" sheetId="14" state="hidden" r:id="rId7"/>
    <sheet name="Л_ДБН" sheetId="10" state="hidden" r:id="rId8"/>
    <sheet name="Кліматологія" sheetId="1" state="hidden" r:id="rId9"/>
    <sheet name="Пояснювальна" sheetId="9" r:id="rId10"/>
  </sheets>
  <definedNames>
    <definedName name="OLE_LINK1" localSheetId="4">Гидроіз!$A$3</definedName>
    <definedName name="OLE_LINK1" localSheetId="6">Зовніш_облиц!$A$3</definedName>
    <definedName name="OLE_LINK1" localSheetId="7">Л_ДБН!$B$3</definedName>
    <definedName name="OLE_LINK1" localSheetId="2">Несуча_покриття!$A$3</definedName>
    <definedName name="OLE_LINK1" localSheetId="1">Облицювання!$A$3</definedName>
    <definedName name="OLE_LINK1" localSheetId="5">Утеплювач!$A$3</definedName>
    <definedName name="OLE_LINK1" localSheetId="3">Ухил!$A$3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9" l="1"/>
  <c r="N76" i="9"/>
  <c r="Q76" i="9"/>
  <c r="T76" i="9"/>
  <c r="B24" i="7"/>
  <c r="D64" i="9" s="1"/>
  <c r="E24" i="7"/>
  <c r="T64" i="9" s="1"/>
  <c r="Q114" i="9" s="1"/>
  <c r="D24" i="7"/>
  <c r="C24" i="7"/>
  <c r="N64" i="9" s="1"/>
  <c r="Q64" i="9" s="1"/>
  <c r="Q113" i="9" s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5" i="1"/>
  <c r="C12" i="7" l="1"/>
  <c r="D12" i="7"/>
  <c r="E12" i="7"/>
  <c r="B12" i="7"/>
  <c r="C28" i="11" l="1"/>
  <c r="N70" i="9" s="1"/>
  <c r="Q70" i="9" s="1"/>
  <c r="H99" i="9" s="1"/>
  <c r="E113" i="9" s="1"/>
  <c r="D28" i="11"/>
  <c r="E28" i="11"/>
  <c r="F28" i="11"/>
  <c r="G28" i="11"/>
  <c r="H28" i="11"/>
  <c r="I28" i="11"/>
  <c r="T70" i="9" s="1"/>
  <c r="H100" i="9" s="1"/>
  <c r="E114" i="9" s="1"/>
  <c r="J28" i="11"/>
  <c r="K28" i="11"/>
  <c r="L28" i="11"/>
  <c r="B28" i="11"/>
  <c r="D70" i="9" s="1"/>
  <c r="N61" i="9"/>
  <c r="T61" i="9"/>
  <c r="U99" i="9" s="1"/>
  <c r="N114" i="9" s="1"/>
  <c r="D61" i="9"/>
  <c r="C63" i="5"/>
  <c r="N46" i="9" s="1"/>
  <c r="D63" i="5"/>
  <c r="E63" i="5"/>
  <c r="F63" i="5"/>
  <c r="G63" i="5"/>
  <c r="H63" i="5"/>
  <c r="I63" i="5"/>
  <c r="T46" i="9" s="1"/>
  <c r="J63" i="5"/>
  <c r="K63" i="5"/>
  <c r="L63" i="5"/>
  <c r="B63" i="5"/>
  <c r="D46" i="9" s="1"/>
  <c r="C62" i="5"/>
  <c r="N43" i="9" s="1"/>
  <c r="Q43" i="9" s="1"/>
  <c r="D62" i="5"/>
  <c r="E62" i="5"/>
  <c r="F62" i="5"/>
  <c r="G62" i="5"/>
  <c r="H62" i="5"/>
  <c r="I62" i="5"/>
  <c r="T43" i="9" s="1"/>
  <c r="J62" i="5"/>
  <c r="K62" i="5"/>
  <c r="L62" i="5"/>
  <c r="B62" i="5"/>
  <c r="D43" i="9" s="1"/>
  <c r="C27" i="11"/>
  <c r="N49" i="9" s="1"/>
  <c r="D27" i="11"/>
  <c r="E27" i="11"/>
  <c r="F27" i="11"/>
  <c r="G27" i="11"/>
  <c r="H27" i="11"/>
  <c r="I27" i="11"/>
  <c r="T49" i="9" s="1"/>
  <c r="J27" i="11"/>
  <c r="K27" i="11"/>
  <c r="L27" i="11"/>
  <c r="B27" i="11"/>
  <c r="D49" i="9" s="1"/>
  <c r="C110" i="12"/>
  <c r="N55" i="9" s="1"/>
  <c r="Q55" i="9" s="1"/>
  <c r="W96" i="9" s="1"/>
  <c r="R110" i="9" s="1"/>
  <c r="D110" i="12"/>
  <c r="E110" i="12"/>
  <c r="F110" i="12"/>
  <c r="G110" i="12"/>
  <c r="H110" i="12"/>
  <c r="I110" i="12"/>
  <c r="T55" i="9" s="1"/>
  <c r="W97" i="9" s="1"/>
  <c r="R111" i="9" s="1"/>
  <c r="J110" i="12"/>
  <c r="K110" i="12"/>
  <c r="L110" i="12"/>
  <c r="B110" i="12"/>
  <c r="D55" i="9" s="1"/>
  <c r="C109" i="12"/>
  <c r="N52" i="9" s="1"/>
  <c r="Q52" i="9" s="1"/>
  <c r="D109" i="12"/>
  <c r="E109" i="12"/>
  <c r="F109" i="12"/>
  <c r="G109" i="12"/>
  <c r="H109" i="12"/>
  <c r="I109" i="12"/>
  <c r="T52" i="9" s="1"/>
  <c r="J109" i="12"/>
  <c r="K109" i="12"/>
  <c r="L109" i="12"/>
  <c r="B109" i="12"/>
  <c r="D52" i="9" s="1"/>
  <c r="C25" i="13"/>
  <c r="N67" i="9" s="1"/>
  <c r="Q67" i="9" s="1"/>
  <c r="E99" i="9" s="1"/>
  <c r="B113" i="9" s="1"/>
  <c r="D25" i="13"/>
  <c r="E25" i="13"/>
  <c r="F25" i="13"/>
  <c r="G25" i="13"/>
  <c r="H25" i="13"/>
  <c r="I25" i="13"/>
  <c r="T67" i="9" s="1"/>
  <c r="E100" i="9" s="1"/>
  <c r="B114" i="9" s="1"/>
  <c r="J25" i="13"/>
  <c r="K25" i="13"/>
  <c r="L25" i="13"/>
  <c r="B25" i="13"/>
  <c r="D67" i="9" s="1"/>
  <c r="C24" i="13"/>
  <c r="N58" i="9" s="1"/>
  <c r="Q58" i="9" s="1"/>
  <c r="B99" i="9" s="1"/>
  <c r="U110" i="9" s="1"/>
  <c r="D24" i="13"/>
  <c r="E24" i="13"/>
  <c r="F24" i="13"/>
  <c r="G24" i="13"/>
  <c r="H24" i="13"/>
  <c r="I24" i="13"/>
  <c r="T58" i="9" s="1"/>
  <c r="B100" i="9" s="1"/>
  <c r="U111" i="9" s="1"/>
  <c r="J24" i="13"/>
  <c r="K24" i="13"/>
  <c r="L24" i="13"/>
  <c r="B24" i="13"/>
  <c r="D58" i="9" s="1"/>
  <c r="C111" i="14"/>
  <c r="N99" i="9" s="1"/>
  <c r="K113" i="9" s="1"/>
  <c r="D111" i="14"/>
  <c r="E111" i="14"/>
  <c r="F111" i="14"/>
  <c r="G111" i="14"/>
  <c r="H111" i="14"/>
  <c r="I111" i="14"/>
  <c r="N100" i="9" s="1"/>
  <c r="K114" i="9" s="1"/>
  <c r="J111" i="14"/>
  <c r="K111" i="14"/>
  <c r="L111" i="14"/>
  <c r="B111" i="14"/>
  <c r="C110" i="14"/>
  <c r="N73" i="9" s="1"/>
  <c r="Q73" i="9" s="1"/>
  <c r="K99" i="9" s="1"/>
  <c r="H113" i="9" s="1"/>
  <c r="D110" i="14"/>
  <c r="E110" i="14"/>
  <c r="F110" i="14"/>
  <c r="G110" i="14"/>
  <c r="H110" i="14"/>
  <c r="I110" i="14"/>
  <c r="T73" i="9" s="1"/>
  <c r="K100" i="9" s="1"/>
  <c r="H114" i="9" s="1"/>
  <c r="J110" i="14"/>
  <c r="K110" i="14"/>
  <c r="L110" i="14"/>
  <c r="B110" i="14"/>
  <c r="D73" i="9" s="1"/>
  <c r="E33" i="1" l="1"/>
  <c r="D33" i="1"/>
  <c r="D34" i="1" l="1"/>
  <c r="K84" i="9" s="1"/>
  <c r="Q49" i="9"/>
  <c r="T97" i="9" l="1"/>
  <c r="O111" i="9" s="1"/>
  <c r="Q97" i="9"/>
  <c r="L111" i="9" s="1"/>
  <c r="T96" i="9"/>
  <c r="Q96" i="9"/>
  <c r="L110" i="9" s="1"/>
  <c r="K96" i="9"/>
  <c r="D12" i="9"/>
  <c r="D10" i="9"/>
  <c r="E5" i="9"/>
  <c r="V80" i="9"/>
  <c r="D80" i="9"/>
  <c r="E96" i="9"/>
  <c r="N97" i="9"/>
  <c r="I111" i="9" s="1"/>
  <c r="K97" i="9"/>
  <c r="F111" i="9" s="1"/>
  <c r="Q46" i="9"/>
  <c r="N96" i="9" s="1"/>
  <c r="I110" i="9" s="1"/>
  <c r="J15" i="9"/>
  <c r="P14" i="9"/>
  <c r="I13" i="9"/>
  <c r="H11" i="9"/>
  <c r="D7" i="9"/>
  <c r="O110" i="9" l="1"/>
  <c r="B102" i="9"/>
  <c r="F110" i="9"/>
  <c r="M116" i="9"/>
  <c r="M106" i="9" l="1"/>
  <c r="N113" i="9" s="1"/>
  <c r="W113" i="9" s="1"/>
  <c r="G116" i="9" s="1"/>
</calcChain>
</file>

<file path=xl/sharedStrings.xml><?xml version="1.0" encoding="utf-8"?>
<sst xmlns="http://schemas.openxmlformats.org/spreadsheetml/2006/main" count="897" uniqueCount="540">
  <si>
    <t xml:space="preserve">Луцьк </t>
  </si>
  <si>
    <t>Донецьк</t>
  </si>
  <si>
    <t>Житомир</t>
  </si>
  <si>
    <t>Ужгород</t>
  </si>
  <si>
    <t>Запоріжжя</t>
  </si>
  <si>
    <t>Івано-Франківськ</t>
  </si>
  <si>
    <t>Київ</t>
  </si>
  <si>
    <t>Луганськ</t>
  </si>
  <si>
    <t>Львів</t>
  </si>
  <si>
    <t>Миколаїв</t>
  </si>
  <si>
    <t>Одеса</t>
  </si>
  <si>
    <t>Полтава</t>
  </si>
  <si>
    <t>Рівне</t>
  </si>
  <si>
    <t>Суми</t>
  </si>
  <si>
    <t>Тернопіль</t>
  </si>
  <si>
    <t>Харків</t>
  </si>
  <si>
    <t>Херсон</t>
  </si>
  <si>
    <t>Хмельницький</t>
  </si>
  <si>
    <t>Черкаси</t>
  </si>
  <si>
    <t>Чернівці</t>
  </si>
  <si>
    <t>Чернігів</t>
  </si>
  <si>
    <t>Сімферополь, Джанкой</t>
  </si>
  <si>
    <t>Місто</t>
  </si>
  <si>
    <r>
      <t>Вінниця</t>
    </r>
    <r>
      <rPr>
        <i/>
        <sz val="12"/>
        <color theme="1"/>
        <rFont val="ISOCPEUR"/>
        <family val="2"/>
        <charset val="204"/>
      </rPr>
      <t xml:space="preserve"> </t>
    </r>
  </si>
  <si>
    <t>Температурна зона</t>
  </si>
  <si>
    <t>Евпаторія, Феодосія</t>
  </si>
  <si>
    <t>Ялта, Алушта, Керч</t>
  </si>
  <si>
    <t>І</t>
  </si>
  <si>
    <t>ІІ</t>
  </si>
  <si>
    <t>Таблиця Г.2 – Розрахункові значення температури й вологості повітря приміщень</t>
  </si>
  <si>
    <t>Призначення будинку</t>
  </si>
  <si>
    <t>Громадські і адміністративні  будинки</t>
  </si>
  <si>
    <t>50 - 60</t>
  </si>
  <si>
    <t>Лікувальні й дитячі навчальні установи</t>
  </si>
  <si>
    <t>Дошкільні установи</t>
  </si>
  <si>
    <t>Розрахункова температура внутрішнього повітря, tв, 0С</t>
  </si>
  <si>
    <t>Розрахункове значення відносної вологості , φв, %</t>
  </si>
  <si>
    <t>Вологісний режим</t>
  </si>
  <si>
    <t>Нормальний</t>
  </si>
  <si>
    <t>Назва матеріалу</t>
  </si>
  <si>
    <t>Характеристика в сухому стані</t>
  </si>
  <si>
    <t>Розрахунковий вміст вологи за масою в умовах експлуатації, w, %</t>
  </si>
  <si>
    <t>Розрахункові характеристики в умовах експлуатації</t>
  </si>
  <si>
    <r>
      <t xml:space="preserve">густина, </t>
    </r>
    <r>
      <rPr>
        <b/>
        <sz val="10"/>
        <color theme="1"/>
        <rFont val="Calibri"/>
        <family val="2"/>
        <charset val="204"/>
      </rPr>
      <t>ρ, кг/м3</t>
    </r>
  </si>
  <si>
    <t>питома теплоємність, с0, кДж/(кг К)</t>
  </si>
  <si>
    <r>
      <t xml:space="preserve">теплопро-відність, </t>
    </r>
    <r>
      <rPr>
        <b/>
        <sz val="10"/>
        <color theme="1"/>
        <rFont val="Calibri"/>
        <family val="2"/>
        <charset val="204"/>
      </rPr>
      <t>λ</t>
    </r>
    <r>
      <rPr>
        <b/>
        <vertAlign val="subscript"/>
        <sz val="10"/>
        <color theme="1"/>
        <rFont val="Calibri"/>
        <family val="2"/>
        <charset val="204"/>
      </rPr>
      <t>0, Вт/(м К)</t>
    </r>
  </si>
  <si>
    <t>теплопровідність,  λр, Вт/(м К)</t>
  </si>
  <si>
    <t>коефіцієнт теплозасвоєння, s, Вт/(м2К)</t>
  </si>
  <si>
    <r>
      <t xml:space="preserve">коефіцієнт паропроникності, </t>
    </r>
    <r>
      <rPr>
        <b/>
        <sz val="10"/>
        <color theme="1"/>
        <rFont val="Calibri"/>
        <family val="2"/>
        <charset val="204"/>
      </rPr>
      <t>μ</t>
    </r>
    <r>
      <rPr>
        <b/>
        <sz val="10"/>
        <color theme="1"/>
        <rFont val="Times New Roman"/>
        <family val="1"/>
        <charset val="204"/>
      </rPr>
      <t>, мг/(м год Па)</t>
    </r>
  </si>
  <si>
    <t>А</t>
  </si>
  <si>
    <t>Б</t>
  </si>
  <si>
    <t>А,Б</t>
  </si>
  <si>
    <t>1. Вихідні дані для розрахунку:</t>
  </si>
  <si>
    <t>Об'єкт:</t>
  </si>
  <si>
    <t>Місце будівництва:</t>
  </si>
  <si>
    <t>Адреса:</t>
  </si>
  <si>
    <t>Призначення будинку:</t>
  </si>
  <si>
    <r>
      <t>Розрахункова внутрішня температура t</t>
    </r>
    <r>
      <rPr>
        <i/>
        <sz val="8"/>
        <color theme="1"/>
        <rFont val="ISOCPEUR"/>
        <family val="2"/>
        <charset val="204"/>
      </rPr>
      <t>в</t>
    </r>
    <r>
      <rPr>
        <i/>
        <sz val="14"/>
        <color theme="1"/>
        <rFont val="ISOCPEUR"/>
        <family val="2"/>
        <charset val="204"/>
      </rPr>
      <t xml:space="preserve"> =</t>
    </r>
  </si>
  <si>
    <r>
      <t xml:space="preserve">Відносна вологість </t>
    </r>
    <r>
      <rPr>
        <sz val="14"/>
        <color theme="1"/>
        <rFont val="Arial"/>
        <family val="2"/>
        <charset val="204"/>
      </rPr>
      <t>φ</t>
    </r>
    <r>
      <rPr>
        <i/>
        <sz val="8"/>
        <color theme="1"/>
        <rFont val="ISOCPEUR"/>
        <family val="2"/>
        <charset val="204"/>
      </rPr>
      <t>в</t>
    </r>
    <r>
      <rPr>
        <i/>
        <sz val="14"/>
        <color theme="1"/>
        <rFont val="ISOCPEUR"/>
        <family val="2"/>
        <charset val="204"/>
      </rPr>
      <t xml:space="preserve"> =</t>
    </r>
  </si>
  <si>
    <t xml:space="preserve"> - й</t>
  </si>
  <si>
    <t>температурній зоні України. Мінімально допустиме значення опору</t>
  </si>
  <si>
    <r>
      <t>R</t>
    </r>
    <r>
      <rPr>
        <i/>
        <sz val="8"/>
        <color theme="1"/>
        <rFont val="ISOCPEUR"/>
        <family val="2"/>
        <charset val="204"/>
      </rPr>
      <t>qmin</t>
    </r>
    <r>
      <rPr>
        <i/>
        <sz val="14"/>
        <color theme="1"/>
        <rFont val="ISOCPEUR"/>
        <family val="2"/>
        <charset val="204"/>
      </rPr>
      <t xml:space="preserve"> =</t>
    </r>
  </si>
  <si>
    <r>
      <t>м</t>
    </r>
    <r>
      <rPr>
        <sz val="14"/>
        <color theme="1"/>
        <rFont val="Calibri"/>
        <family val="2"/>
        <charset val="204"/>
      </rPr>
      <t>²</t>
    </r>
    <r>
      <rPr>
        <i/>
        <sz val="14"/>
        <color theme="1"/>
        <rFont val="ISOCPEUR"/>
        <family val="2"/>
        <charset val="204"/>
      </rPr>
      <t>/K</t>
    </r>
    <r>
      <rPr>
        <sz val="14"/>
        <color theme="1"/>
        <rFont val="Calibri"/>
        <family val="2"/>
        <charset val="204"/>
      </rPr>
      <t>×</t>
    </r>
    <r>
      <rPr>
        <i/>
        <sz val="14"/>
        <color theme="1"/>
        <rFont val="ISOCPEUR"/>
        <family val="2"/>
        <charset val="204"/>
      </rPr>
      <t>Вт</t>
    </r>
  </si>
  <si>
    <t>багатошарової конструкції:</t>
  </si>
  <si>
    <t>(</t>
  </si>
  <si>
    <t xml:space="preserve"> -</t>
  </si>
  <si>
    <r>
      <rPr>
        <sz val="12"/>
        <color theme="1"/>
        <rFont val="Calibri"/>
        <family val="2"/>
        <charset val="204"/>
      </rPr>
      <t>δ</t>
    </r>
    <r>
      <rPr>
        <i/>
        <sz val="8"/>
        <color theme="1"/>
        <rFont val="ISOCPEUR"/>
        <family val="2"/>
        <charset val="204"/>
      </rPr>
      <t xml:space="preserve">ут </t>
    </r>
    <r>
      <rPr>
        <i/>
        <sz val="12"/>
        <color theme="1"/>
        <rFont val="ISOCPEUR"/>
        <family val="2"/>
        <charset val="204"/>
      </rPr>
      <t>=</t>
    </r>
  </si>
  <si>
    <t>)</t>
  </si>
  <si>
    <t>×</t>
  </si>
  <si>
    <t>=</t>
  </si>
  <si>
    <t>м</t>
  </si>
  <si>
    <r>
      <t>δ</t>
    </r>
    <r>
      <rPr>
        <i/>
        <sz val="8"/>
        <color theme="1"/>
        <rFont val="ISOCPEUR"/>
        <family val="2"/>
        <charset val="204"/>
      </rPr>
      <t>ут</t>
    </r>
    <r>
      <rPr>
        <i/>
        <sz val="14"/>
        <color theme="1"/>
        <rFont val="ISOCPEUR"/>
        <family val="2"/>
        <charset val="204"/>
      </rPr>
      <t xml:space="preserve"> =</t>
    </r>
  </si>
  <si>
    <t>Опір теплопередачі, з урахуванням запропонованої товщини утеплювача,</t>
  </si>
  <si>
    <t>становить:</t>
  </si>
  <si>
    <r>
      <t>R</t>
    </r>
    <r>
      <rPr>
        <sz val="8"/>
        <color theme="1"/>
        <rFont val="ISOCPEUR"/>
        <family val="2"/>
        <charset val="204"/>
      </rPr>
      <t>Σ</t>
    </r>
    <r>
      <rPr>
        <i/>
        <sz val="8"/>
        <color theme="1"/>
        <rFont val="ISOCPEUR"/>
        <family val="2"/>
        <charset val="204"/>
      </rPr>
      <t xml:space="preserve"> </t>
    </r>
    <r>
      <rPr>
        <i/>
        <sz val="12"/>
        <color theme="1"/>
        <rFont val="ISOCPEUR"/>
        <family val="2"/>
        <charset val="204"/>
      </rPr>
      <t>=</t>
    </r>
  </si>
  <si>
    <t>+</t>
  </si>
  <si>
    <t>Таблиця 1 - Розрахункові дані</t>
  </si>
  <si>
    <t>№ шару</t>
  </si>
  <si>
    <t>Найменування шару</t>
  </si>
  <si>
    <t>Ут.</t>
  </si>
  <si>
    <r>
      <t xml:space="preserve">Густина </t>
    </r>
    <r>
      <rPr>
        <sz val="12"/>
        <color theme="1"/>
        <rFont val="Calibri"/>
        <family val="2"/>
        <charset val="204"/>
      </rPr>
      <t>ρ</t>
    </r>
    <r>
      <rPr>
        <i/>
        <sz val="8"/>
        <color theme="1"/>
        <rFont val="ISOCPEUR"/>
        <family val="2"/>
        <charset val="204"/>
      </rPr>
      <t>0</t>
    </r>
    <r>
      <rPr>
        <i/>
        <sz val="12"/>
        <color theme="1"/>
        <rFont val="ISOCPEUR"/>
        <family val="2"/>
        <charset val="204"/>
      </rPr>
      <t>, кг/м</t>
    </r>
    <r>
      <rPr>
        <sz val="12"/>
        <color theme="1"/>
        <rFont val="Calibri"/>
        <family val="2"/>
        <charset val="204"/>
      </rPr>
      <t>³</t>
    </r>
  </si>
  <si>
    <r>
      <t xml:space="preserve">Теплопровідність </t>
    </r>
    <r>
      <rPr>
        <sz val="12"/>
        <color theme="1"/>
        <rFont val="Calibri"/>
        <family val="2"/>
        <charset val="204"/>
      </rPr>
      <t>λ</t>
    </r>
    <r>
      <rPr>
        <i/>
        <sz val="8"/>
        <color theme="1"/>
        <rFont val="ISOCPEUR"/>
        <family val="2"/>
        <charset val="204"/>
      </rPr>
      <t>ip</t>
    </r>
    <r>
      <rPr>
        <i/>
        <sz val="12"/>
        <color theme="1"/>
        <rFont val="ISOCPEUR"/>
        <family val="2"/>
        <charset val="204"/>
      </rPr>
      <t>, Вт/(м</t>
    </r>
    <r>
      <rPr>
        <sz val="12"/>
        <color theme="1"/>
        <rFont val="Calibri"/>
        <family val="2"/>
        <charset val="204"/>
      </rPr>
      <t>×</t>
    </r>
    <r>
      <rPr>
        <i/>
        <sz val="12"/>
        <color theme="1"/>
        <rFont val="ISOCPEUR"/>
        <family val="2"/>
        <charset val="204"/>
      </rPr>
      <t>К)</t>
    </r>
  </si>
  <si>
    <t>2. Розрахунок:</t>
  </si>
  <si>
    <t>Замовник:</t>
  </si>
  <si>
    <t>Виконувач:</t>
  </si>
  <si>
    <t>Дата:</t>
  </si>
  <si>
    <t>ТОВ "Мізол"</t>
  </si>
  <si>
    <t>Житлові будинки</t>
  </si>
  <si>
    <t>матеріалу і наведені в таблиці 1.</t>
  </si>
  <si>
    <t>1.</t>
  </si>
  <si>
    <t>2.</t>
  </si>
  <si>
    <t>Несуча конструкція</t>
  </si>
  <si>
    <t>4.</t>
  </si>
  <si>
    <t>Утеплювач</t>
  </si>
  <si>
    <t>Товщиною, м</t>
  </si>
  <si>
    <t>%</t>
  </si>
  <si>
    <r>
      <rPr>
        <sz val="14"/>
        <color theme="1"/>
        <rFont val="Arial"/>
        <family val="2"/>
        <charset val="204"/>
      </rPr>
      <t>°</t>
    </r>
    <r>
      <rPr>
        <i/>
        <sz val="16.100000000000001"/>
        <color theme="1"/>
        <rFont val="ISOCPEUR"/>
        <family val="2"/>
        <charset val="204"/>
      </rPr>
      <t>C</t>
    </r>
  </si>
  <si>
    <t>&gt;</t>
  </si>
  <si>
    <t>виконується.</t>
  </si>
  <si>
    <r>
      <t>R</t>
    </r>
    <r>
      <rPr>
        <i/>
        <sz val="8"/>
        <color theme="1"/>
        <rFont val="ISOCPEUR"/>
        <family val="2"/>
        <charset val="204"/>
      </rPr>
      <t xml:space="preserve">qmin </t>
    </r>
    <r>
      <rPr>
        <i/>
        <sz val="14"/>
        <color theme="1"/>
        <rFont val="ISOCPEUR"/>
        <family val="2"/>
        <charset val="204"/>
      </rPr>
      <t>=</t>
    </r>
  </si>
  <si>
    <t>м²×K×Вт</t>
  </si>
  <si>
    <t>Документи</t>
  </si>
  <si>
    <t>поля для заповнення</t>
  </si>
  <si>
    <t>Результат</t>
  </si>
  <si>
    <r>
      <t xml:space="preserve">Товщина </t>
    </r>
    <r>
      <rPr>
        <sz val="12"/>
        <color theme="1"/>
        <rFont val="Calibri"/>
        <family val="2"/>
        <charset val="204"/>
      </rPr>
      <t>δ</t>
    </r>
    <r>
      <rPr>
        <i/>
        <sz val="13.8"/>
        <color theme="1"/>
        <rFont val="ISOCPEUR"/>
        <family val="2"/>
        <charset val="204"/>
      </rPr>
      <t>, м</t>
    </r>
  </si>
  <si>
    <t>Внутрішнє облицювання</t>
  </si>
  <si>
    <t>Плити деревноволокнисті та деревно-стружечні 200 кг/м³</t>
  </si>
  <si>
    <t>Плити деревноволокнисті та деревно-стружечні 400 кг/м³</t>
  </si>
  <si>
    <t>Плити деревноволокнисті та деревно-стружечні 600 кг/м³</t>
  </si>
  <si>
    <t>Плити деревноволокнисті та деревно-стружечні 800 кг/м³</t>
  </si>
  <si>
    <t>Плити деревноволокнисті та деревно-стружечні 1000 кг/м³</t>
  </si>
  <si>
    <t>Розчини цементноперлітові 600 кг/м³</t>
  </si>
  <si>
    <t>Розчини цементноперлітові 800 кг/м³</t>
  </si>
  <si>
    <t>Розчини цементноперлітові 1000 кг/м³</t>
  </si>
  <si>
    <t>Розчини гіпсоперлітові 400 кг/м³</t>
  </si>
  <si>
    <t>Розчини гіпсоперлітові 500 кг/м³</t>
  </si>
  <si>
    <t>Розчини цементно-кремнезитові 200 кг/м³</t>
  </si>
  <si>
    <t>Розчини цементно-кремнезитові 300 кг/м³</t>
  </si>
  <si>
    <t>Розчини цементно-шлакові 1200 кг/м³</t>
  </si>
  <si>
    <t>Розчини цементно-шлакові 1400 кг/м³</t>
  </si>
  <si>
    <t>Розчини цементнопінополістирольні</t>
  </si>
  <si>
    <t>Плити з гіпсу 1000 кг/м³</t>
  </si>
  <si>
    <t>Плити з гіпсу 1200 кг/м³</t>
  </si>
  <si>
    <t>Листи гіпсокартонні 800 кг/м³</t>
  </si>
  <si>
    <t xml:space="preserve">Сосна та ялина поперек волокон </t>
  </si>
  <si>
    <t>Сосна та ялина уздовж волокон</t>
  </si>
  <si>
    <t xml:space="preserve">Дуб поперек волокон </t>
  </si>
  <si>
    <t>Дуб уздовж волокон</t>
  </si>
  <si>
    <t xml:space="preserve">Фанера клеєна </t>
  </si>
  <si>
    <t xml:space="preserve">Картон облицювальний </t>
  </si>
  <si>
    <t>Картон будівельний багатошаровий</t>
  </si>
  <si>
    <t>Розчин цементно-піщаний</t>
  </si>
  <si>
    <t>Розчин складний  (пісок, вапно, цемент)</t>
  </si>
  <si>
    <t>Розчин вапняно-піщаний</t>
  </si>
  <si>
    <t>Плити  та вироби з природного каменю - граніт, гнейс та базальт</t>
  </si>
  <si>
    <t xml:space="preserve"> -вапняк 1600 кг/м³</t>
  </si>
  <si>
    <t xml:space="preserve"> -вапняк 1800 кг/м³</t>
  </si>
  <si>
    <t xml:space="preserve"> -вапняк 2000 кг/м³</t>
  </si>
  <si>
    <t xml:space="preserve"> -туф 1200 кг/м³</t>
  </si>
  <si>
    <t xml:space="preserve"> -туф 1400 кг/м³</t>
  </si>
  <si>
    <t xml:space="preserve"> -туф 1600 кг/м³</t>
  </si>
  <si>
    <t>Плити керамічні для підлоги</t>
  </si>
  <si>
    <t xml:space="preserve"> -туф 1800 кг/м³</t>
  </si>
  <si>
    <t xml:space="preserve"> -туф 2000 кг/м³</t>
  </si>
  <si>
    <t xml:space="preserve"> -туф 1000 кг/м³</t>
  </si>
  <si>
    <t xml:space="preserve"> -мармур</t>
  </si>
  <si>
    <t xml:space="preserve">Сталь арматурна </t>
  </si>
  <si>
    <t xml:space="preserve">Чавун </t>
  </si>
  <si>
    <t xml:space="preserve">Алюміній </t>
  </si>
  <si>
    <t xml:space="preserve">Латунь, мідь </t>
  </si>
  <si>
    <t xml:space="preserve">Скло віконне </t>
  </si>
  <si>
    <t>Бетони ніздрюваті 300 кг/м³</t>
  </si>
  <si>
    <t>Бетони ніздрюваті 400 кг/м³</t>
  </si>
  <si>
    <t>Бетони ніздрюваті 500 кг/м³</t>
  </si>
  <si>
    <t>Вермікулітобетон 400 кг/м³</t>
  </si>
  <si>
    <t>Вермікулітобетон 600 кг/м³</t>
  </si>
  <si>
    <t>Вермікулітобетон 800 кг/м³</t>
  </si>
  <si>
    <t>Бетони ніздрюваті 600 кг/м³</t>
  </si>
  <si>
    <t>Бетони ніздрюваті 700 кг/м³</t>
  </si>
  <si>
    <t>Бетони ніздрюваті 800 кг/м³</t>
  </si>
  <si>
    <t>Бетони ніздрюваті 900 кг/м³</t>
  </si>
  <si>
    <t>Бетони ніздрюваті 1000 кг/м³</t>
  </si>
  <si>
    <t>Бетони ніздрюваті 1100 кг/м³</t>
  </si>
  <si>
    <t>Бетони ніздрюваті 1200 кг/м³</t>
  </si>
  <si>
    <t>Газо-та пінозолобетон 1000 кг/м³</t>
  </si>
  <si>
    <t>Газо-та пінозолобетон 1200 кг/м³</t>
  </si>
  <si>
    <t>Керамзитобетон на керамзитовому піску 500 кг/м³</t>
  </si>
  <si>
    <t>Керамзитобетон на керамзитовому піску 600 кг/м³</t>
  </si>
  <si>
    <t>Керамзитобетон на керамзитовому піску 800 кг/м³</t>
  </si>
  <si>
    <t>Керамзитобетон на керамзитовому піску 1000 кг/м³</t>
  </si>
  <si>
    <t>Керамзитобетон на керамзитовому піску 1200 кг/м³</t>
  </si>
  <si>
    <t>Керамзитобетон на керамзитовому піску 1400 кг/м³</t>
  </si>
  <si>
    <t>Керамзитобетон на керамзитовому піску 1600 кг/м³</t>
  </si>
  <si>
    <t>Керамзитобетон на керамзитовому піску 1800 кг/м³</t>
  </si>
  <si>
    <t>Керамзитобетон на кварцовому піску з поризацією 800 кг/м³</t>
  </si>
  <si>
    <t>Керамзитобетон на кварцовому піску з поризацією 1000 кг/м³</t>
  </si>
  <si>
    <t>Керамзитобетон на кварцовому піску з поризацією 1200 кг/м³</t>
  </si>
  <si>
    <t>Керамзитобетон на перлітовому піску 800 кг/м³</t>
  </si>
  <si>
    <t>Керамзитобетон на перлітовому піску 1000 кг/м³</t>
  </si>
  <si>
    <t>Керамзитошлакобетон</t>
  </si>
  <si>
    <t>Перлітобетон 600 кг/м³</t>
  </si>
  <si>
    <t>Перлітобетон 800 кг/м³</t>
  </si>
  <si>
    <t>Перлітобетон 1000 кг/м³</t>
  </si>
  <si>
    <t>Перлітобетон 1200 кг/м³</t>
  </si>
  <si>
    <t>Шлакопемзобетон 1000 кг/м³</t>
  </si>
  <si>
    <t>Шлакопемзобетон 1200 кг/м³</t>
  </si>
  <si>
    <t>Шлакопемзобетон 1400 кг/м³</t>
  </si>
  <si>
    <t>Шлакопемзобетон 1600 кг/м³</t>
  </si>
  <si>
    <t>Бетон на доменних гранульованих шлаках 1200 кг/м³</t>
  </si>
  <si>
    <t>Бетон на доменних гранульованих шлаках 1400 кг/м³</t>
  </si>
  <si>
    <t>Бетон на доменних гранульованих шлаках 1600 кг/м³</t>
  </si>
  <si>
    <t>Бетон на зольному гравії 1000 кг/м³</t>
  </si>
  <si>
    <t>Бетон на зольному гравії 1200 кг/м³</t>
  </si>
  <si>
    <t>Бетон на зольному гравії 1400 кг/м³</t>
  </si>
  <si>
    <t xml:space="preserve">Залізобетон </t>
  </si>
  <si>
    <t xml:space="preserve">Бетон на гравію або щебені з природного каменю </t>
  </si>
  <si>
    <t>Вихідні дані</t>
  </si>
  <si>
    <t>Немає</t>
  </si>
  <si>
    <t>1.3. Вироби з природної органічної та неорганічної сировини</t>
  </si>
  <si>
    <t xml:space="preserve">1.4. Бетони теплоізоляційні </t>
  </si>
  <si>
    <t>2.1. Бетони ніздрюваті</t>
  </si>
  <si>
    <t xml:space="preserve">2.2. Бетони легкі </t>
  </si>
  <si>
    <t>2.4. Вироби бетонні</t>
  </si>
  <si>
    <t xml:space="preserve">2.5. Деревина та вироби з неї </t>
  </si>
  <si>
    <t>2.6. Цегляна кладка з порожнистої цегли</t>
  </si>
  <si>
    <t>2.7. Кладка з виробів бетонних</t>
  </si>
  <si>
    <t>3.1. Бетони конструкційні</t>
  </si>
  <si>
    <t>3.4. Кладка цегляна з повнотілої цегли</t>
  </si>
  <si>
    <t xml:space="preserve">1.6. Розчини теплоізоляційні </t>
  </si>
  <si>
    <t>2.3. Вироби гіпсові</t>
  </si>
  <si>
    <t>3.2. Розчини будівельні</t>
  </si>
  <si>
    <t>3.3. Облицювання природним каменем та керамічною плиткою</t>
  </si>
  <si>
    <t>3.6. Метали</t>
  </si>
  <si>
    <t>Мінімально допустиме значення опору теплопередачі суьіщених покриттів</t>
  </si>
  <si>
    <t>* Для будинків садибного типу і будинків до чотирьох поверхів включно</t>
  </si>
  <si>
    <t>Теплотехнічний розрахунок конструкції суміщеного покриття</t>
  </si>
  <si>
    <t>Шари суміщеного покриття:</t>
  </si>
  <si>
    <t>1.1. Волокнисті матеріали</t>
  </si>
  <si>
    <r>
      <t>1. Плити з мінеральної вати на синтетичному зв’язуючому негофрованої структури, 75 кг/м</t>
    </r>
    <r>
      <rPr>
        <sz val="12"/>
        <color theme="1"/>
        <rFont val="Calibri"/>
        <family val="2"/>
        <charset val="204"/>
      </rPr>
      <t>³</t>
    </r>
  </si>
  <si>
    <r>
      <t>1. Плити з мінеральної вати на синтетичному зв’язуючому негофрованої структури, 125 кг/м</t>
    </r>
    <r>
      <rPr>
        <sz val="12"/>
        <color theme="1"/>
        <rFont val="Calibri"/>
        <family val="2"/>
        <charset val="204"/>
      </rPr>
      <t>³</t>
    </r>
  </si>
  <si>
    <t>1.2. Полімерні матеріали</t>
  </si>
  <si>
    <r>
      <t>1. Плити з мінеральної вати на синтетичному зв’язуючому негофрованої структури, 150 кг/м</t>
    </r>
    <r>
      <rPr>
        <sz val="12"/>
        <color theme="1"/>
        <rFont val="Calibri"/>
        <family val="2"/>
        <charset val="204"/>
      </rPr>
      <t>³</t>
    </r>
  </si>
  <si>
    <r>
      <t>1. Плити з мінеральної вати на синтетичному зв’язуючому негофрованої структури, 175 кг/м</t>
    </r>
    <r>
      <rPr>
        <sz val="12"/>
        <color theme="1"/>
        <rFont val="Calibri"/>
        <family val="2"/>
        <charset val="204"/>
      </rPr>
      <t>³</t>
    </r>
  </si>
  <si>
    <r>
      <t>1. Плити з мінеральної вати на синтетичному зв’язуючому негофрованої структури, 200 кг/м</t>
    </r>
    <r>
      <rPr>
        <sz val="12"/>
        <color theme="1"/>
        <rFont val="Calibri"/>
        <family val="2"/>
        <charset val="204"/>
      </rPr>
      <t>³</t>
    </r>
  </si>
  <si>
    <t xml:space="preserve">1.5. Матеріали теплоізоляційні засипні </t>
  </si>
  <si>
    <t>2. Плити з мінеральної вати на синтетичному зв’язуючому гофрованої структури, 175 кг/м³</t>
  </si>
  <si>
    <t>2. Плити з мінеральної вати на синтетичному зв’язуючому гофрованої структури, 200 кг/м³</t>
  </si>
  <si>
    <t>3. Плити мінераловатні гофрованої структури, 70 кг/м³</t>
  </si>
  <si>
    <t>3. Плити мінераловатні гофрованої структури, 100 кг/м³</t>
  </si>
  <si>
    <t>3. Плити мінераловатні гофрованої структури, 170 кг/м³</t>
  </si>
  <si>
    <t>4. Плити з мінеральної вати на синтетичному зв’язуючому (вміст зв’язуючого за масою від 6,5% до 8,0 %), 150 кг/м³</t>
  </si>
  <si>
    <t>4. Плити з мінеральної вати на синтетичному зв’язуючому (вміст зв’язуючого за масою від 6,5% до 8,0 %), 170 кг/м³</t>
  </si>
  <si>
    <t>4. Плити з мінеральної вати на синтетичному зв’язуючому (вміст зв’язуючого за масою від 6,5% до 8,0 %), 180 кг/м³</t>
  </si>
  <si>
    <t>5. Плити з мінеральної вати на синтетичному зв’язуючому (вміст зв’язуючого за масою від 4,0% до 5,0 %), 20 кг/м³</t>
  </si>
  <si>
    <t>5. Плити з мінеральної вати на синтетичному зв’язуючому (вміст зв’язуючого за масою від 4,0% до 5,0 %), 30 кг/м³</t>
  </si>
  <si>
    <t>5. Плити з мінеральної вати на синтетичному зв’язуючому (вміст зв’язуючого за масою від 4,0% до 5,0 %), 50 кг/м³</t>
  </si>
  <si>
    <t>5. Плити з мінеральної вати на синтетичному зв’язуючому (вміст зв’язуючого за масою від 4,0% до 5,0 %), 80 кг/м³</t>
  </si>
  <si>
    <t>5. Плити з мінеральної вати на синтетичному зв’язуючому (вміст зв’язуючого за масою від 4,0% до 5,0 %), 110 кг/м³</t>
  </si>
  <si>
    <t xml:space="preserve">3.5 Матеріали покрівельні, гідроізоляційні та покриття полімерні для підлог </t>
  </si>
  <si>
    <t>5. Плити з мінеральної вати на синтетичному зв’язуючому (вміст зв’язуючого за масою від 4,0% до 5,0 %), 190 кг/м³</t>
  </si>
  <si>
    <t>6. Rockmin Плити з мінеральної вати на синтетичному зв’язуючому (вміст зв’язуючого за масою від 3,5% до 4,2 %), 30 кг/м³</t>
  </si>
  <si>
    <t>Нет</t>
  </si>
  <si>
    <t>6. R Плити з мінеральної вати на синтетичному зв’язуючому (вміст зв’язуючого за масою від 3,5% до 4,2 %), 50 кг/м³</t>
  </si>
  <si>
    <t>6. Плити з мінеральної вати на синтетичному зв’язуючому (вміст зв’язуючого за масою від 3,5% до 4,2 %), 70 кг/м³</t>
  </si>
  <si>
    <t>6. Плити з мінеральної вати на синтетичному зв’язуючому (вміст зв’язуючого за масою від 3,5% до 4,2 %), 110 кг/м³</t>
  </si>
  <si>
    <t>6. Плити з мінеральної вати на синтетичному зв’язуючому (вміст зв’язуючого за масою від 3,5% до 4,2 %), 140 кг/м³</t>
  </si>
  <si>
    <t>6. Плити з мінеральної вати на синтетичному зв’язуючому (вміст зв’язуючого за масою від 3,5% до 4,2 %), 180 кг/м³</t>
  </si>
  <si>
    <t>6. Плити з мінеральної вати на синтетичному зв’язуючому (вміст зв’язуючого за масою від 3,5% до 4,2 %), 220 кг/м³</t>
  </si>
  <si>
    <t>7. Плити негорючі теплоізоляційні базальто-волокнисті, 40 кг/м³</t>
  </si>
  <si>
    <t>7. Плити негорючі теплоізоляційні базальто-волокнисті, 90 кг/м³</t>
  </si>
  <si>
    <t>8. Мати прошивні із мінеральної вати теплоізоляційні, 75 кг/м³</t>
  </si>
  <si>
    <t>8. Мати прошивні із мінеральної вати теплоізоляційні, 125 кг/м³</t>
  </si>
  <si>
    <t>9. Мати мінераловатні прошивні будівельні, 70 кг/м³</t>
  </si>
  <si>
    <t>9. Мати мінераловатні прошивні будівельні, 95 кг/м³</t>
  </si>
  <si>
    <t>10. Мати прошивні теплоізоляційні, 50 кг/м³</t>
  </si>
  <si>
    <t>11. Плити зі скляного штапельного волокна одержуваного вертикальним роздувом, 30 кг/м³</t>
  </si>
  <si>
    <t>11. Плити зі скляного штапельного волокна одержуваного вертикальним роздувом, 75 кг/м³</t>
  </si>
  <si>
    <t>11. Плити зі скляного штапельного волокна одержуваного вертикальним роздувом, 160 кг/м³</t>
  </si>
  <si>
    <t>11. Плити зі скляного штапельного волокна одержуваного вертикальним роздувом, 190 кг/м³</t>
  </si>
  <si>
    <t>12. Плити зі скляного штапельного волокна одержуваного центріфугально-фільєрно дутьовим способом (ЦФДС)  (вміст зв’язуючого за масою від 3,5% до 4,0 %), 15 кг/м³</t>
  </si>
  <si>
    <t>12. Плити зі скляного штапельного волокна одержуваного центріфугально-фільєрно дутьовим способом (ЦФДС)  (вміст зв’язуючого за масою від 3,5% до 4,0 %), 55 кг/м³</t>
  </si>
  <si>
    <t>12. Плити зі скляного штапельного волокна одержуваного центріфугально-фільєрно дутьовим способом (ЦФДС)  (вміст зв’язуючого за масою від 3,5% до 4,0 %), 140 кг/м³</t>
  </si>
  <si>
    <t>13. Плити зі скляного штапельного волокна одержуваного ЦФДС (вміст зв’язуючого за масою від 4,0% до 4,5 %), 20 кг/м³</t>
  </si>
  <si>
    <t>14. Мати зі скляного штапельного волокна одержуваного ЦФДС (вміст зв’язуючого за масою від 3,5% до 4,0 %), 10 кг/м³</t>
  </si>
  <si>
    <t>15. Мати зі скляного штапельного волокна одержуваного ЦФДС (вміст зв’язуючого за масою  від 4,0% до 4,5 %), 10 кг/м³</t>
  </si>
  <si>
    <t>15. Мати зі скляного штапельного волокна одержуваного ЦФДС (вміст зв’язуючого за масою  від 4,0% до 4,5 %), 15 кг/м³</t>
  </si>
  <si>
    <t xml:space="preserve">16. Мати зі скляного штапельного волокна одержуваного вертикальним роздувом, 25 кг/м³  </t>
  </si>
  <si>
    <t xml:space="preserve">16. Мати зі скляного штапельного волокна одержуваного вертикальним роздувом, 35 кг/м³  </t>
  </si>
  <si>
    <t xml:space="preserve">16. Мати зі скляного штапельного волокна одержуваного вертикальним роздувом, 40 кг/м³  </t>
  </si>
  <si>
    <t>17. Вироби теплоізоляційні скловолокнисті, 45 кг/м³</t>
  </si>
  <si>
    <t>18. Вата мінеральна, 80 кг/м³</t>
  </si>
  <si>
    <t>18. Вата мінеральна, 100 кг/м³</t>
  </si>
  <si>
    <t>19. Плити пінополістирольні, 15 кг/м³</t>
  </si>
  <si>
    <t>19. Плити пінополістирольні, 25 кг/м³</t>
  </si>
  <si>
    <t>19. Плити пінополістирольні, 35 кг/м³</t>
  </si>
  <si>
    <t>19. Плити пінополістирольні, 50 кг/м³</t>
  </si>
  <si>
    <t>20. Плити пінополістирольні екструзійні, 50 кг/м³</t>
  </si>
  <si>
    <t>20. Плити пінополістирольні екструзійні, 80 кг/м³</t>
  </si>
  <si>
    <t>21. Плити пінополістирольні екструзійні, 20 кг/м³</t>
  </si>
  <si>
    <t>21. Плити пінополістирольні екструзійні, 25 кг/м³</t>
  </si>
  <si>
    <t>21. Плити пінополістирольні екструзійні, 30 кг/м³</t>
  </si>
  <si>
    <t>22. Плити пінополістирольні екструзійні, 39 кг/м³</t>
  </si>
  <si>
    <t>23. Блоки пінополістирольні, 20 кг/м³</t>
  </si>
  <si>
    <t>23. Блоки пінополістирольні, 30 кг/м³</t>
  </si>
  <si>
    <t>24. Вироби з жорсткого пінополіуретану, 40 кг/м³</t>
  </si>
  <si>
    <t>24. Вироби з жорсткого пінополіуретану, 60 кг/м³</t>
  </si>
  <si>
    <t>24. Вироби з жорсткого пінополіуретану, 80 кг/м³</t>
  </si>
  <si>
    <t>25. Плити з резольно-формальдегідного пінопласта, 40 кг/м³</t>
  </si>
  <si>
    <t>25. Плити з резольно-формальдегідного пінопласта, 50 кг/м³</t>
  </si>
  <si>
    <t>25. Плити з резольно-формальдегідного пінопласта, 100 кг/м³</t>
  </si>
  <si>
    <t>26. Вироби зі спіненої карбомідно-формальдегідної смоли, 15 кг/м³</t>
  </si>
  <si>
    <t>26. Вироби зі спіненої карбомідно-формальдегідної смоли, 25 кг/м³</t>
  </si>
  <si>
    <t>26. Вироби зі спіненої карбомідно-формальдегідної смоли, 30 кг/м³</t>
  </si>
  <si>
    <t>27. Вироби зі спіненого пінополіетілену, 30 кг/м³</t>
  </si>
  <si>
    <t>27. Вироби зі спіненого пінополіетілену, 50 кг/м³</t>
  </si>
  <si>
    <t>28. Вироби зі спіненого хімічно сшитого пінополіетилену, 30 кг/м³</t>
  </si>
  <si>
    <t>29. Вироби перлітофосфогельові, 200 кг/м³</t>
  </si>
  <si>
    <t>29. Вироби перлітофосфогельові, 300 кг/м³</t>
  </si>
  <si>
    <t>30. Блоки полістиролбетонні стінові 200 кг/м³</t>
  </si>
  <si>
    <t>30. Блоки полістиролбетонні стінові 300 кг/м³</t>
  </si>
  <si>
    <t>30. Блоки полістиролбетонні стінові 600 кг/м³</t>
  </si>
  <si>
    <t>31. Вироби теплоізоляційні перлітоцементні та перлітогипсові 300 кг/м³</t>
  </si>
  <si>
    <t>31. Вироби теплоізоляційні перлітоцементні та перлітогипсові 450 кг/м³</t>
  </si>
  <si>
    <t>32. Вироби перлітобентонітові теплоізоляційні 250 кг/м³</t>
  </si>
  <si>
    <t>32. Вироби перлітобентонітові теплоізоляційні 300 кг/м³</t>
  </si>
  <si>
    <t>32. Вироби перлітобентонітові теплоізоляційні 400 кг/м³</t>
  </si>
  <si>
    <t>33. Блоки перлітобетонні стінові 500 кг/м³</t>
  </si>
  <si>
    <t>33. Блоки перлітобетонні стінові 600 кг/м³</t>
  </si>
  <si>
    <t>33. Блоки перлітобетонні стінові 650 кг/м³</t>
  </si>
  <si>
    <t>34. Вироби цементополістирольні 250 кг/м³</t>
  </si>
  <si>
    <t>34. Вироби цементополістирольні 300 кг/м³</t>
  </si>
  <si>
    <t>34. Вироби цементополістирольні 400 кг/м³</t>
  </si>
  <si>
    <t>34. Вироби цементополістирольні 500 кг/м³</t>
  </si>
  <si>
    <t>34. Вироби цементополістирольні 550 кг/м³</t>
  </si>
  <si>
    <t>35. Піноскло 160 кг/м³</t>
  </si>
  <si>
    <t>36. Блоки кремнезитоцементні 300 кг/м³</t>
  </si>
  <si>
    <t>36. Блоки кремнезитоцементні 400 кг/м³</t>
  </si>
  <si>
    <t>36. Блоки кремнезитоцементні 500 кг/м³</t>
  </si>
  <si>
    <t>37. Вироби з арболіту на портландцементі 300 кг/м³</t>
  </si>
  <si>
    <t>37. Вироби з арболіту на портландцементі 400 кг/м³</t>
  </si>
  <si>
    <t>37. Вироби з арболіту на портландцементі 600 кг/м³</t>
  </si>
  <si>
    <t>37. Вироби з арболіту на портландцементі 800 кг/м³</t>
  </si>
  <si>
    <t>38. Плити теплоізоляційні очеретяні 200 кг/м³</t>
  </si>
  <si>
    <t>38. Плити теплоізоляційні очеретяні 300 кг/м³</t>
  </si>
  <si>
    <t>39. Вироби перлітобітумні теплоізоляційні 300 кг/м³</t>
  </si>
  <si>
    <t>39. Вироби перлітобітумні теплоізоляційні 400 кг/м³</t>
  </si>
  <si>
    <t>40. Плити деревноволокнисті та деревно-стружечні 200 кг/м³</t>
  </si>
  <si>
    <t>40. Плити деревноволокнисті та деревно-стружечні 400 кг/м³</t>
  </si>
  <si>
    <t>40. Плити деревноволокнисті та деревно-стружечні 600 кг/м³</t>
  </si>
  <si>
    <t>40. Плити деревноволокнисті та деревно-стружечні 800 кг/м³</t>
  </si>
  <si>
    <t>40. Плити деревноволокнисті та деревно-стружечні 1000 кг/м³</t>
  </si>
  <si>
    <t>41. Бетони ніздрюваті 200 кг/м³</t>
  </si>
  <si>
    <t>41. Бетони ніздрюваті 300 кг/м³</t>
  </si>
  <si>
    <t>41. Бетони ніздрюваті 400 кг/м³</t>
  </si>
  <si>
    <t>41. Бетони ніздрюваті 500 кг/м³</t>
  </si>
  <si>
    <t>42. Вермікулітобетон 400 кг/м³</t>
  </si>
  <si>
    <t>42. Вермікулітобетон 600 кг/м³</t>
  </si>
  <si>
    <t>42. Вермікулітобетон 800 кг/м³</t>
  </si>
  <si>
    <t>43. Щебінь перлітовий</t>
  </si>
  <si>
    <t>44. Гравій шлаковий</t>
  </si>
  <si>
    <t>45. Щебінь шлаковий</t>
  </si>
  <si>
    <t>46 Щебінь вермікулітовий</t>
  </si>
  <si>
    <t>47. Гравій керамзитовий 200 кг/м³</t>
  </si>
  <si>
    <t>47. Гравій керамзитовий 300 кг/м³</t>
  </si>
  <si>
    <t>47. Гравій керамзитовий 400 кг/м³</t>
  </si>
  <si>
    <t>47. Гравій керамзитовий 600 кг/м³</t>
  </si>
  <si>
    <t>47. Гравій керамзитовий 800 кг/м³</t>
  </si>
  <si>
    <t>48. Щебінь шлакопемзовий</t>
  </si>
  <si>
    <t>49. Пісок вермікулітовий 100 кг/м³</t>
  </si>
  <si>
    <t>49. Пісок вермікулітовий 200 кг/м³</t>
  </si>
  <si>
    <t>50 Пісок для будівельних робіт</t>
  </si>
  <si>
    <t>51. Розчини цементноперлітові 600 кг/м³</t>
  </si>
  <si>
    <t>51. Розчини цементноперлітові 800 кг/м³</t>
  </si>
  <si>
    <t>51. Розчини цементноперлітові 1000 кг/м³</t>
  </si>
  <si>
    <t>52. Розчини гіпсоперлітові 400 кг/м³</t>
  </si>
  <si>
    <t>52. Розчини гіпсоперлітові 500 кг/м³</t>
  </si>
  <si>
    <t>53. Розчини цементно-кремнезитові 200 кг/м³</t>
  </si>
  <si>
    <t>53. Розчини цементно-кремнезитові 300 кг/м³</t>
  </si>
  <si>
    <t>54. Розчини цементно-шлакові 1200 кг/м³</t>
  </si>
  <si>
    <t>54. Розчини цементно-шлакові 1400 кг/м³</t>
  </si>
  <si>
    <t>55. Розчини цементнопінополістирольні</t>
  </si>
  <si>
    <t>56. Бетони ніздрюваті 500 кг/м³</t>
  </si>
  <si>
    <t>56. Бетони ніздрюваті 600 кг/м³</t>
  </si>
  <si>
    <t>56. Бетони ніздрюваті 700 кг/м³</t>
  </si>
  <si>
    <t>56. Бетони ніздрюваті 800 кг/м³</t>
  </si>
  <si>
    <t>56. Бетони ніздрюваті 900 кг/м³</t>
  </si>
  <si>
    <t>56. Бетони ніздрюваті 1000 кг/м³</t>
  </si>
  <si>
    <t>56. Бетони ніздрюваті 1100 кг/м³</t>
  </si>
  <si>
    <t>56. Бетони ніздрюваті 1200 кг/м³</t>
  </si>
  <si>
    <t>57. Газо-та пінозолобетон 1000 кг/м³</t>
  </si>
  <si>
    <t>57. Газо-та пінозолобетон 1200 кг/м³</t>
  </si>
  <si>
    <t>58. Керамзитобетон на керамзитовому піску 500 кг/м³</t>
  </si>
  <si>
    <t>58. Керамзитобетон на керамзитовому піску 600 кг/м³</t>
  </si>
  <si>
    <t>58. Керамзитобетон на керамзитовому піску 800 кг/м³</t>
  </si>
  <si>
    <t>58. Керамзитобетон на керамзитовому піску 1000 кг/м³</t>
  </si>
  <si>
    <t>58. Керамзитобетон на керамзитовому піску 1200 кг/м³</t>
  </si>
  <si>
    <t>58. Керамзитобетон на керамзитовому піску 1400 кг/м³</t>
  </si>
  <si>
    <t>58. Керамзитобетон на керамзитовому піску 1600 кг/м³</t>
  </si>
  <si>
    <t>58. Керамзитобетон на керамзитовому піску 1800 кг/м³</t>
  </si>
  <si>
    <t>59. Керамзитобетон на кварцовому піску з поризацією 800 кг/м³</t>
  </si>
  <si>
    <t>59. Керамзитобетон на кварцовому піску з поризацією 1000 кг/м³</t>
  </si>
  <si>
    <t>59. Керамзитобетон на кварцовому піску з поризацією 1200 кг/м³</t>
  </si>
  <si>
    <t>60. Керамзитобетон на перлітовому піску 800 кг/м³</t>
  </si>
  <si>
    <t>60. Керамзитобетон на перлітовому піску 1000 кг/м³</t>
  </si>
  <si>
    <t>61. Керамзитошлакобетон</t>
  </si>
  <si>
    <t>62. Перлітобетон 600 кг/м³</t>
  </si>
  <si>
    <t>62. Перлітобетон 800 кг/м³</t>
  </si>
  <si>
    <t>62. Перлітобетон 1000 кг/м³</t>
  </si>
  <si>
    <t>62. Перлітобетон 1200 кг/м³</t>
  </si>
  <si>
    <t>63. Шлакопемзобетон 1000 кг/м³</t>
  </si>
  <si>
    <t>63. Шлакопемзобетон 1200 кг/м³</t>
  </si>
  <si>
    <t>63. Шлакопемзобетон 1400 кг/м³</t>
  </si>
  <si>
    <t>63. Шлакопемзобетон 1600 кг/м³</t>
  </si>
  <si>
    <t>64. Бетон на доменних гранульованих шлаках 1200 кг/м³</t>
  </si>
  <si>
    <t>64. Бетон на доменних гранульованих шлаках 1400 кг/м³</t>
  </si>
  <si>
    <t>64. Бетон на доменних гранульованих шлаках 1600 кг/м³</t>
  </si>
  <si>
    <t>65. Бетон на зольному гравії 1000 кг/м³</t>
  </si>
  <si>
    <t>65. Бетон на зольному гравії 1200 кг/м³</t>
  </si>
  <si>
    <t>65. Бетон на зольному гравії 1400 кг/м³</t>
  </si>
  <si>
    <t>66. Плити з гіпсу 1000 кг/м³</t>
  </si>
  <si>
    <t>66. Плити з гіпсу 1200 кг/м³</t>
  </si>
  <si>
    <t>67. Листи гіпсокартонні 800 кг/м³</t>
  </si>
  <si>
    <t>68. Блоки кремнезитоцементні 700 кг/м³</t>
  </si>
  <si>
    <t>68. Блоки кремнезитоцементні 800 кг/м³</t>
  </si>
  <si>
    <t>68. Блоки кремнезитоцементні 1000 кг/м³</t>
  </si>
  <si>
    <t>68. Блоки кремнезитоцементні 1200 кг/м³</t>
  </si>
  <si>
    <t xml:space="preserve">69. Сосна та ялина поперек волокон </t>
  </si>
  <si>
    <t>70. Сосна та ялина уздовж волокон</t>
  </si>
  <si>
    <t xml:space="preserve">71. Дуб поперек волокон </t>
  </si>
  <si>
    <t>72. Дуб уздовж волокон</t>
  </si>
  <si>
    <t xml:space="preserve">73. Фанера клеєна </t>
  </si>
  <si>
    <t xml:space="preserve">74. Картон облицювальний </t>
  </si>
  <si>
    <t>75. Картон будівельний багатошаровий</t>
  </si>
  <si>
    <t>76. Керамічної порожнистої густиною 1400 кг/м3 (брутто) на цементно-піщаному розчині</t>
  </si>
  <si>
    <t>77. Керамічної порожнистої густиною 1300 кг/м3 (брутто) на цементно-піщаному розчині</t>
  </si>
  <si>
    <t>78. Керамічної порожнистої густиною 1000 кг/м3 (брутто) на цементно-піщаному розчині</t>
  </si>
  <si>
    <t>79. З блоків керамзитошлакобетонних на цементно-піщаному розчині густиною 800 кг/м3 (брутто)</t>
  </si>
  <si>
    <t>79. З блоків керамзитошлакобетонних на цементно-піщаному розчині густиною 850 кг/м3 (брутто)</t>
  </si>
  <si>
    <t>80. З блоків кремнезитоцементних на вапняному розчині із сіопорового та кварцового піску</t>
  </si>
  <si>
    <t xml:space="preserve">81. Залізобетон </t>
  </si>
  <si>
    <t xml:space="preserve">82. Бетон на гравію або щебені з природного каменю </t>
  </si>
  <si>
    <t>83. Розчин цементно-піщаний</t>
  </si>
  <si>
    <t>84. Розчин складний  (пісок, вапно, цемент)</t>
  </si>
  <si>
    <t>85. Розчин вапняно-піщаний</t>
  </si>
  <si>
    <t>86. Плити  та вироби з природного каменю - граніт, гнейс та базальт</t>
  </si>
  <si>
    <t xml:space="preserve">  2800</t>
  </si>
  <si>
    <t>87. - мармур</t>
  </si>
  <si>
    <t>88.  -вапняк 1600 кг/м³</t>
  </si>
  <si>
    <t>88.  -вапняк 1800 кг/м³</t>
  </si>
  <si>
    <t>88.  -вапняк 2000 кг/м³</t>
  </si>
  <si>
    <t>89.  -туф 1000 кг/м³</t>
  </si>
  <si>
    <t>89.  -туф 1200 кг/м³</t>
  </si>
  <si>
    <t>89.  -туф 1400 кг/м³</t>
  </si>
  <si>
    <t>89.  -туф 1600 кг/м³</t>
  </si>
  <si>
    <t>89.  -туф 1800 кг/м³</t>
  </si>
  <si>
    <t>89.  -туф 2000 кг/м³</t>
  </si>
  <si>
    <t>90. Плити керамічні для підлоги</t>
  </si>
  <si>
    <t>91. Глиняної звичайної на цементно-піщаному розчині</t>
  </si>
  <si>
    <t>92. Глиняної звичайної на цементно-шлаковому розчині</t>
  </si>
  <si>
    <t>93. Глиняної звичайної на цементно-перлітовому розчині</t>
  </si>
  <si>
    <t>94. Силікатної на цементно-піщаному розчині</t>
  </si>
  <si>
    <t>95. Трепельної  на цементно-піщаному розчині 1000 кг/м³</t>
  </si>
  <si>
    <t>95. Трепельної  на цементно-піщаному розчині 1200 кг/м³</t>
  </si>
  <si>
    <t>96. Шлакової на цементно-піщаному розчині</t>
  </si>
  <si>
    <t>97. Листи азбестоцементні 1600 кг/м³</t>
  </si>
  <si>
    <t>97. Листи азбестоцементні 1800 кг/м³</t>
  </si>
  <si>
    <t>98. Матеріали бітумні, бітумно-полімерні покрівельні та гідроізоляційні 1000 кг/м³</t>
  </si>
  <si>
    <t>98. Матеріали бітумні, бітумно-полімерні покрівельні та гідроізоляційні 1200 кг/м³</t>
  </si>
  <si>
    <t>98. Матеріали бітумні, бітумно-полімерні покрівельні та гідроізоляційні 1400 кг/м³</t>
  </si>
  <si>
    <t xml:space="preserve">99. Асфальтобетон </t>
  </si>
  <si>
    <t>100. Руберойд, пергамін</t>
  </si>
  <si>
    <t>-</t>
  </si>
  <si>
    <t>101. Лінолеум полівінілхлоридний на теплоізоляційній підоснові 1600 кг/м³</t>
  </si>
  <si>
    <t>101. Лінолеум полівінілхлоридний на теплоізоляційній підоснові 1800 кг/м³</t>
  </si>
  <si>
    <t>102. Лінолеум полівінілхлоридний на тканинній основі 1400 кг/м³</t>
  </si>
  <si>
    <t>102. Лінолеум полівінілхлоридний на тканинній основі 1600 кг/м³</t>
  </si>
  <si>
    <t>103. Лінолеум полівінілхлоридний багатошаровий та одношаровий без підоснови 800 кг/м³</t>
  </si>
  <si>
    <t>103. Лінолеум полівінілхлоридний багатошаровий та одношаровий без підоснови 1200 кг/м³</t>
  </si>
  <si>
    <t xml:space="preserve">104. Сталь арматурна </t>
  </si>
  <si>
    <t xml:space="preserve">105. Чавун </t>
  </si>
  <si>
    <t xml:space="preserve">106. Алюміній </t>
  </si>
  <si>
    <t xml:space="preserve">107. Латунь, мідь </t>
  </si>
  <si>
    <t xml:space="preserve">108. Скло віконне </t>
  </si>
  <si>
    <t>Ухилоутворюючий шар</t>
  </si>
  <si>
    <t>3.</t>
  </si>
  <si>
    <t>Щебінь перлітовий</t>
  </si>
  <si>
    <t>Гравій шлаковий</t>
  </si>
  <si>
    <t>Щебінь шлаковий</t>
  </si>
  <si>
    <t>Щебінь вермікулітовий</t>
  </si>
  <si>
    <t>Гравій керамзитовий 200 кг/м³</t>
  </si>
  <si>
    <t>Гравій керамзитовий 300 кг/м³</t>
  </si>
  <si>
    <t>Гравій керамзитовий 400 кг/м³</t>
  </si>
  <si>
    <t>Гравій керамзитовий 600 кг/м³</t>
  </si>
  <si>
    <t>Гравій керамзитовий 800 кг/м³</t>
  </si>
  <si>
    <t>Щебінь шлакопемзовий</t>
  </si>
  <si>
    <t>Пісок вермікулітовий 100 кг/м³</t>
  </si>
  <si>
    <t>Пісок вермікулітовий 200 кг/м³</t>
  </si>
  <si>
    <t>Пісок для будівельних робіт</t>
  </si>
  <si>
    <t>Листи азбестоцементні 1600 кг/м³</t>
  </si>
  <si>
    <t>Листи азбестоцементні 1800 кг/м³</t>
  </si>
  <si>
    <t xml:space="preserve">Асфальтобетон </t>
  </si>
  <si>
    <t>5.</t>
  </si>
  <si>
    <t>Гідроізоляційний килим</t>
  </si>
  <si>
    <t>Матеріали бітумні, бітумно-полімерні покрівельні та гідроізоляційні 1000 кг/м³</t>
  </si>
  <si>
    <t>Матеріали бітумні, бітумно-полімерні покрівельні та гідроізоляційні 1200 кг/м³</t>
  </si>
  <si>
    <t>Матеріали бітумні, бітумно-полімерні покрівельні та гідроізоляційні 1400 кг/м³</t>
  </si>
  <si>
    <t>Руберойд, пергамін</t>
  </si>
  <si>
    <t>Лінолеум полівінілхлоридний на тканинній основі 1400 кг/м³</t>
  </si>
  <si>
    <t>Лінолеум полівінілхлоридний на тканинній основі 1600 кг/м³</t>
  </si>
  <si>
    <t>Лінолеум полівінілхлоридний багатошаровий та одношаровий без підоснови 800 кг/м³</t>
  </si>
  <si>
    <t>Лінолеум полівінілхлоридний багатошаровий та одношаровий без підоснови 1200 кг/м³</t>
  </si>
  <si>
    <t>Гідроізоляційний килим/ пароізоляція</t>
  </si>
  <si>
    <t>6.</t>
  </si>
  <si>
    <t>7.</t>
  </si>
  <si>
    <t>8.</t>
  </si>
  <si>
    <t>9.</t>
  </si>
  <si>
    <t>10.</t>
  </si>
  <si>
    <t>?</t>
  </si>
  <si>
    <t>мал. 1. Конструктивна схема суміщеного покриття</t>
  </si>
  <si>
    <t>літерою "Б". Розрахункові значення теплопровідності шарів суміщеного</t>
  </si>
  <si>
    <t>11.</t>
  </si>
  <si>
    <t>Вироби цементополістирольні 300 кг/м³</t>
  </si>
  <si>
    <t>Плити пінополістирольні екструзійні, 35 кг/м³</t>
  </si>
  <si>
    <t>Dachrock Prof плити з мінеральної вати на синтетичному зв’язуючому, 190 кг/м³</t>
  </si>
  <si>
    <t>Monrock Max E плити з мінеральної вати на синтетичному зв’язуючому, 220/110 кг/м³</t>
  </si>
  <si>
    <t>220/110</t>
  </si>
  <si>
    <t>Roofrock 30E плити з мінеральної вати на синтетичному зв’язуючому, 100 кг/м³</t>
  </si>
  <si>
    <r>
      <t>покриття (λ</t>
    </r>
    <r>
      <rPr>
        <i/>
        <sz val="8"/>
        <color theme="1"/>
        <rFont val="ISOCPEUR"/>
        <family val="2"/>
        <charset val="204"/>
      </rPr>
      <t>Б</t>
    </r>
    <r>
      <rPr>
        <i/>
        <sz val="14"/>
        <color theme="1"/>
        <rFont val="ISOCPEUR"/>
        <family val="2"/>
        <charset val="204"/>
      </rPr>
      <t>) знайдені за додатком А (таблицею А1 [2] згідно із густиною</t>
    </r>
  </si>
  <si>
    <t>Записуємо формулу (2 [2]) опору теплопередачі для даної</t>
  </si>
  <si>
    <r>
      <t>Умова (4) [1] R</t>
    </r>
    <r>
      <rPr>
        <i/>
        <sz val="8"/>
        <color theme="1"/>
        <rFont val="ISOCPEUR"/>
        <family val="2"/>
        <charset val="204"/>
      </rPr>
      <t xml:space="preserve">Σ </t>
    </r>
    <r>
      <rPr>
        <i/>
        <sz val="14"/>
        <color theme="1"/>
        <rFont val="ISOCPEUR"/>
        <family val="2"/>
        <charset val="204"/>
      </rPr>
      <t>=</t>
    </r>
  </si>
  <si>
    <t>Мембрана ПВХ</t>
  </si>
  <si>
    <t>Пароізоляційна плівка</t>
  </si>
  <si>
    <t>ЦСП</t>
  </si>
  <si>
    <t>Мармурова крихта</t>
  </si>
  <si>
    <t>TermPIR, 30 кг/м³</t>
  </si>
  <si>
    <t xml:space="preserve">Пінополістиролбетон </t>
  </si>
  <si>
    <t>Зовнішнє покриття та доутеплення</t>
  </si>
  <si>
    <t>2. Утеплювач</t>
  </si>
  <si>
    <t>Кропивницький</t>
  </si>
  <si>
    <t>Roofrock 80 плити з мінеральної вати на синтетичному зв’язуючому, 175 кг/м³</t>
  </si>
  <si>
    <t>Monrock Max E плити з мінеральної вати на синтетичному зв’язуючому, 220/115 кг/м³</t>
  </si>
  <si>
    <t>220/115</t>
  </si>
  <si>
    <t>1.  ДБН В 2.6-31:2021 Теплова ізоляція та енергоефективність будівель</t>
  </si>
  <si>
    <t>(Додаток А[1]) знаходиться в</t>
  </si>
  <si>
    <t>теплопередачі суміщеного покриття (згідно з таблицею 1 [1]) становить:</t>
  </si>
  <si>
    <t>Вологісний режим приміщення - нормальний за таблицею Б1 [1]. Умови</t>
  </si>
  <si>
    <t>експлуатації, що встановлюються за Додатком Б[1], призначаються за</t>
  </si>
  <si>
    <t>7.1</t>
  </si>
  <si>
    <t>Додатковий шар теплоізоляції</t>
  </si>
  <si>
    <t>Додатковий шар</t>
  </si>
  <si>
    <t xml:space="preserve"> - </t>
  </si>
  <si>
    <t xml:space="preserve"> + </t>
  </si>
  <si>
    <t xml:space="preserve"> =</t>
  </si>
  <si>
    <r>
      <t>Приймаючи R</t>
    </r>
    <r>
      <rPr>
        <sz val="8"/>
        <color theme="1"/>
        <rFont val="ISOCPEUR"/>
        <family val="2"/>
        <charset val="204"/>
      </rPr>
      <t>Σ</t>
    </r>
    <r>
      <rPr>
        <i/>
        <sz val="14"/>
        <color theme="1"/>
        <rFont val="ISOCPEUR"/>
        <family val="2"/>
        <charset val="204"/>
      </rPr>
      <t xml:space="preserve"> = R</t>
    </r>
    <r>
      <rPr>
        <i/>
        <sz val="8"/>
        <color theme="1"/>
        <rFont val="ISOCPEUR"/>
        <family val="2"/>
        <charset val="204"/>
      </rPr>
      <t>qmin</t>
    </r>
    <r>
      <rPr>
        <i/>
        <sz val="14"/>
        <color theme="1"/>
        <rFont val="ISOCPEUR"/>
        <family val="2"/>
        <charset val="204"/>
      </rPr>
      <t>, знаходимо товщину основного утеплювача:</t>
    </r>
  </si>
  <si>
    <t>Згідно розрахунка мінімально необхідна товщина основного утеплювача</t>
  </si>
  <si>
    <t>3. ДБН В.2.6-220:2017 Покриття будинкiв i споруд</t>
  </si>
  <si>
    <t>Дніпро</t>
  </si>
  <si>
    <t>ДСТУ 9191:2022 Теплоізоляція будівель. Метод вибору теплоізоляційного матеріалу для утеплення будівель</t>
  </si>
  <si>
    <t>проспект Миру, буд. 99/101  м. Хмельницький</t>
  </si>
  <si>
    <t xml:space="preserve"> ТОВ«ЕДВАНСІС ГРУП»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</si>
</sst>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000"/>
  </numFmts>
  <fonts count="2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i/>
      <sz val="12"/>
      <color theme="1"/>
      <name val="ISOCPEUR"/>
      <family val="2"/>
      <charset val="204"/>
    </font>
    <font>
      <i/>
      <sz val="12"/>
      <color rgb="FF000000"/>
      <name val="ISOCPEUR"/>
      <family val="2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ISOCPEUR"/>
      <family val="2"/>
      <charset val="204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</font>
    <font>
      <b/>
      <vertAlign val="subscript"/>
      <sz val="10"/>
      <color theme="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</font>
    <font>
      <sz val="10"/>
      <name val="Arial Cyr"/>
      <charset val="204"/>
    </font>
    <font>
      <i/>
      <sz val="14"/>
      <color theme="1"/>
      <name val="ISOCPEUR"/>
      <family val="2"/>
      <charset val="204"/>
    </font>
    <font>
      <i/>
      <sz val="8"/>
      <color theme="1"/>
      <name val="ISOCPEUR"/>
      <family val="2"/>
      <charset val="204"/>
    </font>
    <font>
      <sz val="14"/>
      <color theme="1"/>
      <name val="Arial"/>
      <family val="2"/>
      <charset val="204"/>
    </font>
    <font>
      <b/>
      <i/>
      <sz val="14"/>
      <color theme="1"/>
      <name val="ISOCPEUR"/>
      <family val="2"/>
      <charset val="204"/>
    </font>
    <font>
      <sz val="14"/>
      <color theme="1"/>
      <name val="Calibri"/>
      <family val="2"/>
      <charset val="204"/>
    </font>
    <font>
      <i/>
      <sz val="28"/>
      <color theme="1"/>
      <name val="ISOCPEUR"/>
      <family val="2"/>
      <charset val="204"/>
    </font>
    <font>
      <sz val="8"/>
      <color theme="1"/>
      <name val="ISOCPEUR"/>
      <family val="2"/>
      <charset val="204"/>
    </font>
    <font>
      <i/>
      <sz val="24"/>
      <color theme="1"/>
      <name val="ISOCPEUR"/>
      <family val="2"/>
      <charset val="204"/>
    </font>
    <font>
      <i/>
      <sz val="16.100000000000001"/>
      <color theme="1"/>
      <name val="ISOCPEUR"/>
      <family val="2"/>
      <charset val="204"/>
    </font>
    <font>
      <i/>
      <sz val="13.8"/>
      <color theme="1"/>
      <name val="ISOCPEUR"/>
      <family val="2"/>
      <charset val="204"/>
    </font>
    <font>
      <u/>
      <sz val="11"/>
      <color theme="10"/>
      <name val="Calibri"/>
      <family val="2"/>
      <charset val="204"/>
    </font>
    <font>
      <b/>
      <i/>
      <u/>
      <sz val="14"/>
      <color theme="10"/>
      <name val="ISOCPEUR"/>
      <family val="2"/>
      <charset val="204"/>
    </font>
    <font>
      <i/>
      <sz val="14"/>
      <color theme="10"/>
      <name val="ISOCPEUR"/>
      <family val="2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Calibri"/>
      <family val="2"/>
      <charset val="204"/>
    </font>
    <font>
      <sz val="12"/>
      <color rgb="FF000000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2" fillId="0" borderId="0"/>
    <xf numFmtId="0" fontId="23" fillId="0" borderId="0" applyNumberFormat="0" applyFill="0" applyBorder="0" applyAlignment="0" applyProtection="0">
      <alignment vertical="top"/>
      <protection locked="0"/>
    </xf>
  </cellStyleXfs>
  <cellXfs count="13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5" fillId="10" borderId="0" xfId="0" applyFont="1" applyFill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14" fontId="13" fillId="0" borderId="0" xfId="0" applyNumberFormat="1" applyFont="1" applyAlignment="1">
      <alignment vertical="center" wrapText="1"/>
    </xf>
    <xf numFmtId="0" fontId="3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7" borderId="2" xfId="0" applyFont="1" applyFill="1" applyBorder="1" applyAlignment="1">
      <alignment horizontal="center" vertical="center" wrapText="1"/>
    </xf>
    <xf numFmtId="2" fontId="13" fillId="10" borderId="0" xfId="0" applyNumberFormat="1" applyFont="1" applyFill="1" applyAlignment="1">
      <alignment vertical="center" wrapText="1"/>
    </xf>
    <xf numFmtId="0" fontId="13" fillId="10" borderId="0" xfId="0" applyFont="1" applyFill="1" applyAlignment="1">
      <alignment vertical="center" wrapText="1"/>
    </xf>
    <xf numFmtId="0" fontId="26" fillId="0" borderId="1" xfId="0" applyFont="1" applyBorder="1" applyAlignment="1">
      <alignment horizontal="left" vertical="top" wrapText="1"/>
    </xf>
    <xf numFmtId="0" fontId="3" fillId="7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center" wrapText="1"/>
    </xf>
    <xf numFmtId="0" fontId="10" fillId="0" borderId="1" xfId="0" applyFont="1" applyBorder="1"/>
    <xf numFmtId="0" fontId="0" fillId="14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26" fillId="0" borderId="1" xfId="0" applyFont="1" applyBorder="1"/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25" fillId="0" borderId="0" xfId="2" applyFont="1" applyAlignment="1" applyProtection="1">
      <alignment horizontal="left" vertical="center" wrapText="1"/>
    </xf>
    <xf numFmtId="0" fontId="28" fillId="0" borderId="0" xfId="0" applyFont="1"/>
    <xf numFmtId="0" fontId="28" fillId="0" borderId="0" xfId="0" applyFont="1" applyAlignment="1">
      <alignment horizontal="left"/>
    </xf>
    <xf numFmtId="0" fontId="28" fillId="2" borderId="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49" fontId="13" fillId="0" borderId="0" xfId="0" applyNumberFormat="1" applyFont="1" applyAlignment="1">
      <alignment horizontal="center" vertical="center" wrapText="1"/>
    </xf>
    <xf numFmtId="0" fontId="5" fillId="8" borderId="0" xfId="0" applyFont="1" applyFill="1" applyAlignment="1">
      <alignment horizontal="left" vertical="top" wrapText="1"/>
    </xf>
    <xf numFmtId="164" fontId="13" fillId="7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10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24" fillId="12" borderId="0" xfId="2" applyFont="1" applyFill="1" applyAlignment="1" applyProtection="1">
      <alignment horizontal="center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164" fontId="13" fillId="10" borderId="0" xfId="0" applyNumberFormat="1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25" fillId="0" borderId="0" xfId="2" applyFont="1" applyAlignment="1" applyProtection="1">
      <alignment horizontal="left" vertical="center" wrapText="1"/>
    </xf>
    <xf numFmtId="2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center" wrapText="1"/>
    </xf>
    <xf numFmtId="164" fontId="13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</cellXfs>
  <cellStyles count="3">
    <cellStyle name="Гіперпосилання" xfId="2" builtinId="8"/>
    <cellStyle name="Звичайний" xfId="0" builtinId="0"/>
    <cellStyle name="Обычный 2" xfId="1" xr:uid="{00000000-0005-0000-0000-000002000000}"/>
  </cellStyles>
  <dxfs count="0"/>
  <tableStyles count="0" defaultTableStyle="TableStyleMedium9" defaultPivotStyle="PivotStyleLight16"/>
  <colors>
    <mruColors>
      <color rgb="FF3399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15" fmlaLink="Кліматологія!$J$9" fmlaRange="Кліматологія!$G$5:$G$8" noThreeD="1" sel="2" val="0"/>
</file>

<file path=xl/ctrlProps/ctrlProp2.xml><?xml version="1.0" encoding="utf-8"?>
<formControlPr xmlns="http://schemas.microsoft.com/office/spreadsheetml/2009/9/main" objectType="Drop" dropStyle="combo" dx="15" fmlaLink="Кліматологія!$D$32" fmlaRange="Кліматологія!$B$5:$B$31" noThreeD="1" sel="24" val="17"/>
</file>

<file path=xl/ctrlProps/ctrlProp3.xml><?xml version="1.0" encoding="utf-8"?>
<formControlPr xmlns="http://schemas.microsoft.com/office/spreadsheetml/2009/9/main" objectType="Drop" dropStyle="combo" dx="15" fmlaLink="Облицювання!$B$59" fmlaRange="Облицювання!$B$6:$B$58" noThreeD="1" sel="53" val="45"/>
</file>

<file path=xl/ctrlProps/ctrlProp4.xml><?xml version="1.0" encoding="utf-8"?>
<formControlPr xmlns="http://schemas.microsoft.com/office/spreadsheetml/2009/9/main" objectType="Drop" dropStyle="combo" dx="15" fmlaLink="Облицювання!$B$60" fmlaRange="Облицювання!$B$6:$B$58" noThreeD="1" sel="53" val="45"/>
</file>

<file path=xl/ctrlProps/ctrlProp5.xml><?xml version="1.0" encoding="utf-8"?>
<formControlPr xmlns="http://schemas.microsoft.com/office/spreadsheetml/2009/9/main" objectType="Drop" dropStyle="combo" dx="15" fmlaLink="Несуча_покриття!$B$24" fmlaRange="Несуча_покриття!$B$6:$B$23" noThreeD="1" sel="10" val="3"/>
</file>

<file path=xl/ctrlProps/ctrlProp6.xml><?xml version="1.0" encoding="utf-8"?>
<formControlPr xmlns="http://schemas.microsoft.com/office/spreadsheetml/2009/9/main" objectType="Drop" dropStyle="combo" dx="15" fmlaLink="Утеплювач!$B$11" fmlaRange="Утеплювач!$B$6:$B$10" noThreeD="1" sel="2" val="0"/>
</file>

<file path=xl/ctrlProps/ctrlProp7.xml><?xml version="1.0" encoding="utf-8"?>
<formControlPr xmlns="http://schemas.microsoft.com/office/spreadsheetml/2009/9/main" objectType="Drop" dropStyle="combo" dx="15" fmlaLink="Ухил!$B$106" fmlaRange="Ухил!$B$6:$B$105" noThreeD="1" sel="100" val="92"/>
</file>

<file path=xl/ctrlProps/ctrlProp8.xml><?xml version="1.0" encoding="utf-8"?>
<formControlPr xmlns="http://schemas.microsoft.com/office/spreadsheetml/2009/9/main" objectType="Drop" dropStyle="combo" dx="15" fmlaLink="Ухил!$B$107" fmlaRange="Ухил!$B$6:$B$105" noThreeD="1" sel="88" val="83"/>
</file>

<file path=xl/ctrlProps/ctrlProp9.xml><?xml version="1.0" encoding="utf-8"?>
<formControlPr xmlns="http://schemas.microsoft.com/office/spreadsheetml/2009/9/main" objectType="Drop" dropStyle="combo" dx="15" fmlaLink="Гидроіз!$B$21" fmlaRange="Гидроіз!$B$6:$B$20" noThreeD="1" sel="10" val="7"/>
</file>

<file path=xl/ctrlProps/ctrlProp10.xml><?xml version="1.0" encoding="utf-8"?>
<formControlPr xmlns="http://schemas.microsoft.com/office/spreadsheetml/2009/9/main" objectType="Drop" dropStyle="combo" dx="15" fmlaLink="Гидроіз!$B$22" fmlaRange="Гидроіз!$B$6:$B$20" noThreeD="1" sel="9" val="7"/>
</file>

<file path=xl/ctrlProps/ctrlProp11.xml><?xml version="1.0" encoding="utf-8"?>
<formControlPr xmlns="http://schemas.microsoft.com/office/spreadsheetml/2009/9/main" objectType="Drop" dropStyle="combo" dx="15" fmlaLink="Зовніш_облиц!$B$107" fmlaRange="Зовніш_облиц!$B$6:$B$106" noThreeD="1" sel="101" val="93"/>
</file>

<file path=xl/ctrlProps/ctrlProp12.xml><?xml version="1.0" encoding="utf-8"?>
<formControlPr xmlns="http://schemas.microsoft.com/office/spreadsheetml/2009/9/main" objectType="Drop" dropStyle="combo" dx="15" fmlaLink="Зовніш_облиц!$B$108" fmlaRange="Зовніш_облиц!$B$6:$B$106" noThreeD="1" sel="101" val="93"/>
</file>

<file path=xl/ctrlProps/ctrlProp13.xml><?xml version="1.0" encoding="utf-8"?>
<formControlPr xmlns="http://schemas.microsoft.com/office/spreadsheetml/2009/9/main" objectType="Drop" dropStyle="combo" dx="16" fmlaLink="Несуча_покриття!$B$25" fmlaRange="Несуча_покриття!$B$6:$B$23" noThreeD="1" sel="18" val="10"/>
</file>

<file path=xl/ctrlProps/ctrlProp14.xml><?xml version="1.0" encoding="utf-8"?>
<formControlPr xmlns="http://schemas.microsoft.com/office/spreadsheetml/2009/9/main" objectType="Drop" dropStyle="combo" dx="22" fmlaLink="Утеплювач!$B$23" fmlaRange="Утеплювач!$B$17:$B$22" noThreeD="1" sel="6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191329</xdr:colOff>
      <xdr:row>2</xdr:row>
      <xdr:rowOff>4141</xdr:rowOff>
    </xdr:to>
    <xdr:pic>
      <xdr:nvPicPr>
        <xdr:cNvPr id="3" name="Рисунок 3" descr="C:\Documents and Settings\morgun\Мои документы\лого мизол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34329" cy="480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9</xdr:row>
          <xdr:rowOff>7620</xdr:rowOff>
        </xdr:from>
        <xdr:to>
          <xdr:col>14</xdr:col>
          <xdr:colOff>373380</xdr:colOff>
          <xdr:row>9</xdr:row>
          <xdr:rowOff>213360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7</xdr:row>
          <xdr:rowOff>22860</xdr:rowOff>
        </xdr:from>
        <xdr:to>
          <xdr:col>14</xdr:col>
          <xdr:colOff>373380</xdr:colOff>
          <xdr:row>7</xdr:row>
          <xdr:rowOff>220980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7620</xdr:rowOff>
        </xdr:from>
        <xdr:to>
          <xdr:col>14</xdr:col>
          <xdr:colOff>335280</xdr:colOff>
          <xdr:row>14</xdr:row>
          <xdr:rowOff>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22860</xdr:rowOff>
        </xdr:from>
        <xdr:to>
          <xdr:col>14</xdr:col>
          <xdr:colOff>342900</xdr:colOff>
          <xdr:row>15</xdr:row>
          <xdr:rowOff>0</xdr:rowOff>
        </xdr:to>
        <xdr:sp macro="" textlink="">
          <xdr:nvSpPr>
            <xdr:cNvPr id="6149" name="Drop Dow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17</xdr:row>
          <xdr:rowOff>7620</xdr:rowOff>
        </xdr:from>
        <xdr:to>
          <xdr:col>14</xdr:col>
          <xdr:colOff>365760</xdr:colOff>
          <xdr:row>17</xdr:row>
          <xdr:rowOff>213360</xdr:rowOff>
        </xdr:to>
        <xdr:sp macro="" textlink="">
          <xdr:nvSpPr>
            <xdr:cNvPr id="6150" name="Drop Down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27</xdr:row>
          <xdr:rowOff>0</xdr:rowOff>
        </xdr:from>
        <xdr:to>
          <xdr:col>15</xdr:col>
          <xdr:colOff>0</xdr:colOff>
          <xdr:row>27</xdr:row>
          <xdr:rowOff>198120</xdr:rowOff>
        </xdr:to>
        <xdr:sp macro="" textlink="">
          <xdr:nvSpPr>
            <xdr:cNvPr id="6153" name="Drop Dow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20</xdr:row>
          <xdr:rowOff>7620</xdr:rowOff>
        </xdr:from>
        <xdr:to>
          <xdr:col>14</xdr:col>
          <xdr:colOff>365760</xdr:colOff>
          <xdr:row>20</xdr:row>
          <xdr:rowOff>213360</xdr:rowOff>
        </xdr:to>
        <xdr:sp macro="" textlink="">
          <xdr:nvSpPr>
            <xdr:cNvPr id="6156" name="Drop Down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21</xdr:row>
          <xdr:rowOff>7620</xdr:rowOff>
        </xdr:from>
        <xdr:to>
          <xdr:col>14</xdr:col>
          <xdr:colOff>365760</xdr:colOff>
          <xdr:row>21</xdr:row>
          <xdr:rowOff>213360</xdr:rowOff>
        </xdr:to>
        <xdr:sp macro="" textlink="">
          <xdr:nvSpPr>
            <xdr:cNvPr id="6157" name="Drop Down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0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24</xdr:row>
          <xdr:rowOff>7620</xdr:rowOff>
        </xdr:from>
        <xdr:to>
          <xdr:col>14</xdr:col>
          <xdr:colOff>365760</xdr:colOff>
          <xdr:row>24</xdr:row>
          <xdr:rowOff>213360</xdr:rowOff>
        </xdr:to>
        <xdr:sp macro="" textlink="">
          <xdr:nvSpPr>
            <xdr:cNvPr id="6158" name="Drop Down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32</xdr:row>
          <xdr:rowOff>7620</xdr:rowOff>
        </xdr:from>
        <xdr:to>
          <xdr:col>14</xdr:col>
          <xdr:colOff>365760</xdr:colOff>
          <xdr:row>32</xdr:row>
          <xdr:rowOff>213360</xdr:rowOff>
        </xdr:to>
        <xdr:sp macro="" textlink="">
          <xdr:nvSpPr>
            <xdr:cNvPr id="6159" name="Drop Down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0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38</xdr:row>
          <xdr:rowOff>7620</xdr:rowOff>
        </xdr:from>
        <xdr:to>
          <xdr:col>14</xdr:col>
          <xdr:colOff>365760</xdr:colOff>
          <xdr:row>38</xdr:row>
          <xdr:rowOff>213360</xdr:rowOff>
        </xdr:to>
        <xdr:sp macro="" textlink="">
          <xdr:nvSpPr>
            <xdr:cNvPr id="6160" name="Drop Down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0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39</xdr:row>
          <xdr:rowOff>7620</xdr:rowOff>
        </xdr:from>
        <xdr:to>
          <xdr:col>14</xdr:col>
          <xdr:colOff>365760</xdr:colOff>
          <xdr:row>39</xdr:row>
          <xdr:rowOff>213360</xdr:rowOff>
        </xdr:to>
        <xdr:sp macro="" textlink="">
          <xdr:nvSpPr>
            <xdr:cNvPr id="6161" name="Drop Down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0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0</xdr:rowOff>
        </xdr:from>
        <xdr:to>
          <xdr:col>14</xdr:col>
          <xdr:colOff>373380</xdr:colOff>
          <xdr:row>35</xdr:row>
          <xdr:rowOff>198120</xdr:rowOff>
        </xdr:to>
        <xdr:sp macro="" textlink="">
          <xdr:nvSpPr>
            <xdr:cNvPr id="6162" name="Drop Down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0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29</xdr:row>
          <xdr:rowOff>0</xdr:rowOff>
        </xdr:from>
        <xdr:to>
          <xdr:col>15</xdr:col>
          <xdr:colOff>0</xdr:colOff>
          <xdr:row>30</xdr:row>
          <xdr:rowOff>30480</xdr:rowOff>
        </xdr:to>
        <xdr:sp macro="" textlink="">
          <xdr:nvSpPr>
            <xdr:cNvPr id="6163" name="Drop Down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0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44312</xdr:colOff>
      <xdr:row>0</xdr:row>
      <xdr:rowOff>19050</xdr:rowOff>
    </xdr:from>
    <xdr:to>
      <xdr:col>5</xdr:col>
      <xdr:colOff>219076</xdr:colOff>
      <xdr:row>2</xdr:row>
      <xdr:rowOff>19050</xdr:rowOff>
    </xdr:to>
    <xdr:pic>
      <xdr:nvPicPr>
        <xdr:cNvPr id="5123" name="Рисунок 3" descr="C:\Documents and Settings\morgun\Мои документы\лого мизол.jpg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312" y="19050"/>
          <a:ext cx="1334329" cy="480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41413</xdr:colOff>
      <xdr:row>21</xdr:row>
      <xdr:rowOff>107677</xdr:rowOff>
    </xdr:from>
    <xdr:to>
      <xdr:col>24</xdr:col>
      <xdr:colOff>190500</xdr:colOff>
      <xdr:row>35</xdr:row>
      <xdr:rowOff>107319</xdr:rowOff>
    </xdr:to>
    <xdr:pic>
      <xdr:nvPicPr>
        <xdr:cNvPr id="5" name="Рисунок 4" descr="ТТР_Суміщ_покриття_ Model (1).jp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351" t="11674" r="1201" b="12522"/>
        <a:stretch>
          <a:fillRect/>
        </a:stretch>
      </xdr:blipFill>
      <xdr:spPr>
        <a:xfrm>
          <a:off x="41413" y="5391981"/>
          <a:ext cx="6112565" cy="33623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160020</xdr:colOff>
          <xdr:row>87</xdr:row>
          <xdr:rowOff>160020</xdr:rowOff>
        </xdr:from>
        <xdr:to>
          <xdr:col>22</xdr:col>
          <xdr:colOff>83820</xdr:colOff>
          <xdr:row>90</xdr:row>
          <xdr:rowOff>30480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9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137160</xdr:colOff>
          <xdr:row>92</xdr:row>
          <xdr:rowOff>76200</xdr:rowOff>
        </xdr:from>
        <xdr:to>
          <xdr:col>22</xdr:col>
          <xdr:colOff>160020</xdr:colOff>
          <xdr:row>94</xdr:row>
          <xdr:rowOff>220980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9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Y44"/>
  <sheetViews>
    <sheetView tabSelected="1" topLeftCell="A9" workbookViewId="0">
      <selection activeCell="U25" sqref="U25"/>
    </sheetView>
  </sheetViews>
  <sheetFormatPr defaultColWidth="9.109375" defaultRowHeight="18" x14ac:dyDescent="0.3"/>
  <cols>
    <col min="1" max="1" width="6" style="31" customWidth="1"/>
    <col min="2" max="19" width="5.6640625" style="31" customWidth="1"/>
    <col min="20" max="20" width="8.44140625" style="31" customWidth="1"/>
    <col min="21" max="21" width="5.6640625" style="31" customWidth="1"/>
    <col min="22" max="22" width="9.109375" style="31"/>
    <col min="23" max="23" width="14.44140625" style="31" customWidth="1"/>
    <col min="24" max="16384" width="9.109375" style="31"/>
  </cols>
  <sheetData>
    <row r="3" spans="1:25" x14ac:dyDescent="0.3">
      <c r="A3" s="80" t="s">
        <v>215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25" x14ac:dyDescent="0.3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25" x14ac:dyDescent="0.3">
      <c r="A5" s="81" t="s">
        <v>196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</row>
    <row r="6" spans="1:25" x14ac:dyDescent="0.3">
      <c r="A6" s="78" t="s">
        <v>83</v>
      </c>
      <c r="B6" s="78"/>
      <c r="C6" s="78"/>
      <c r="D6" s="83" t="s">
        <v>539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</row>
    <row r="7" spans="1:25" ht="18.75" customHeight="1" x14ac:dyDescent="0.3">
      <c r="A7" s="78" t="s">
        <v>53</v>
      </c>
      <c r="B7" s="78"/>
      <c r="C7" s="84" t="s">
        <v>65</v>
      </c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ht="18.75" customHeight="1" x14ac:dyDescent="0.3">
      <c r="A8" s="78" t="s">
        <v>54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32"/>
      <c r="Q8" s="32"/>
      <c r="R8" s="32"/>
      <c r="S8" s="32"/>
      <c r="T8" s="32"/>
      <c r="U8" s="32"/>
      <c r="V8" s="32"/>
      <c r="W8" s="32"/>
    </row>
    <row r="9" spans="1:25" ht="18.75" customHeight="1" x14ac:dyDescent="0.3">
      <c r="A9" s="80" t="s">
        <v>55</v>
      </c>
      <c r="B9" s="80"/>
      <c r="C9" s="83" t="s">
        <v>538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32"/>
      <c r="Q9" s="32"/>
      <c r="R9" s="32"/>
      <c r="S9" s="32"/>
      <c r="T9" s="32"/>
      <c r="U9" s="32"/>
      <c r="V9" s="32"/>
      <c r="W9" s="32"/>
    </row>
    <row r="10" spans="1:25" x14ac:dyDescent="0.3">
      <c r="A10" s="78" t="s">
        <v>56</v>
      </c>
      <c r="B10" s="78"/>
      <c r="C10" s="78"/>
      <c r="D10" s="78"/>
      <c r="E10" s="78"/>
    </row>
    <row r="12" spans="1:25" x14ac:dyDescent="0.3">
      <c r="A12" s="78" t="s">
        <v>216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</row>
    <row r="13" spans="1:25" ht="18.75" customHeight="1" x14ac:dyDescent="0.3">
      <c r="A13" s="78" t="s">
        <v>105</v>
      </c>
      <c r="B13" s="78"/>
      <c r="C13" s="78"/>
      <c r="D13" s="78"/>
      <c r="E13" s="78"/>
      <c r="F13" s="78"/>
      <c r="G13" s="32"/>
      <c r="H13" s="32"/>
      <c r="I13" s="32"/>
      <c r="J13" s="32"/>
      <c r="M13" s="32"/>
      <c r="P13" s="79" t="s">
        <v>94</v>
      </c>
      <c r="Q13" s="79"/>
      <c r="R13" s="79"/>
    </row>
    <row r="14" spans="1:25" x14ac:dyDescent="0.3">
      <c r="A14" s="31" t="s">
        <v>89</v>
      </c>
      <c r="M14" s="41"/>
      <c r="P14" s="77">
        <v>0</v>
      </c>
      <c r="Q14" s="77"/>
      <c r="R14" s="77"/>
    </row>
    <row r="15" spans="1:25" x14ac:dyDescent="0.3">
      <c r="A15" s="31" t="s">
        <v>90</v>
      </c>
      <c r="M15" s="41"/>
      <c r="P15" s="77">
        <v>0.02</v>
      </c>
      <c r="Q15" s="77"/>
      <c r="R15" s="77"/>
    </row>
    <row r="17" spans="1:18" ht="18.75" customHeight="1" x14ac:dyDescent="0.3">
      <c r="A17" s="78" t="s">
        <v>91</v>
      </c>
      <c r="B17" s="78"/>
      <c r="C17" s="78"/>
      <c r="D17" s="78"/>
      <c r="E17" s="78"/>
      <c r="F17" s="32"/>
      <c r="G17" s="32"/>
      <c r="H17" s="32"/>
      <c r="I17" s="32"/>
      <c r="J17" s="32"/>
      <c r="K17" s="32"/>
      <c r="M17" s="42"/>
      <c r="P17" s="85" t="s">
        <v>94</v>
      </c>
      <c r="Q17" s="85"/>
      <c r="R17" s="85"/>
    </row>
    <row r="18" spans="1:18" x14ac:dyDescent="0.3">
      <c r="A18" s="31" t="s">
        <v>464</v>
      </c>
      <c r="M18" s="41"/>
      <c r="P18" s="77">
        <v>0.03</v>
      </c>
      <c r="Q18" s="77"/>
      <c r="R18" s="77"/>
    </row>
    <row r="20" spans="1:18" x14ac:dyDescent="0.3">
      <c r="A20" s="78" t="s">
        <v>463</v>
      </c>
      <c r="B20" s="78"/>
      <c r="C20" s="78"/>
      <c r="D20" s="78"/>
      <c r="E20" s="78"/>
      <c r="P20" s="79" t="s">
        <v>94</v>
      </c>
      <c r="Q20" s="79"/>
      <c r="R20" s="79"/>
    </row>
    <row r="21" spans="1:18" x14ac:dyDescent="0.3">
      <c r="A21" s="31" t="s">
        <v>92</v>
      </c>
      <c r="B21" s="33"/>
      <c r="C21" s="33"/>
      <c r="D21" s="33"/>
      <c r="E21" s="33"/>
      <c r="P21" s="77">
        <v>0.05</v>
      </c>
      <c r="Q21" s="77"/>
      <c r="R21" s="77"/>
    </row>
    <row r="22" spans="1:18" x14ac:dyDescent="0.3">
      <c r="A22" s="31" t="s">
        <v>481</v>
      </c>
      <c r="P22" s="77">
        <v>0.05</v>
      </c>
      <c r="Q22" s="77"/>
      <c r="R22" s="77"/>
    </row>
    <row r="23" spans="1:18" ht="18.75" customHeight="1" x14ac:dyDescent="0.3">
      <c r="D23" s="32"/>
      <c r="E23" s="32"/>
      <c r="F23" s="32"/>
      <c r="G23" s="32"/>
      <c r="H23" s="32"/>
      <c r="I23" s="32"/>
      <c r="J23" s="32"/>
      <c r="K23" s="32"/>
      <c r="L23" s="78"/>
      <c r="M23" s="78"/>
      <c r="N23" s="78"/>
      <c r="O23" s="32"/>
    </row>
    <row r="24" spans="1:18" ht="18.75" customHeight="1" x14ac:dyDescent="0.3">
      <c r="A24" s="78" t="s">
        <v>491</v>
      </c>
      <c r="B24" s="78"/>
      <c r="C24" s="78"/>
      <c r="D24" s="78"/>
      <c r="E24" s="78"/>
      <c r="F24" s="78"/>
      <c r="G24" s="78"/>
      <c r="H24" s="78"/>
      <c r="I24" s="78"/>
      <c r="J24" s="32"/>
      <c r="K24" s="32"/>
      <c r="L24" s="33"/>
      <c r="M24" s="33"/>
      <c r="N24" s="33"/>
      <c r="O24" s="32"/>
      <c r="P24" s="79" t="s">
        <v>94</v>
      </c>
      <c r="Q24" s="79"/>
      <c r="R24" s="79"/>
    </row>
    <row r="25" spans="1:18" ht="18.75" customHeight="1" x14ac:dyDescent="0.3">
      <c r="A25" s="31" t="s">
        <v>492</v>
      </c>
      <c r="B25" s="33"/>
      <c r="C25" s="33"/>
      <c r="D25" s="32"/>
      <c r="E25" s="32"/>
      <c r="F25" s="32"/>
      <c r="G25" s="32"/>
      <c r="H25" s="32"/>
      <c r="I25" s="32"/>
      <c r="J25" s="32"/>
      <c r="K25" s="32"/>
      <c r="L25" s="33"/>
      <c r="M25" s="33"/>
      <c r="N25" s="33"/>
      <c r="O25" s="32"/>
      <c r="P25" s="77">
        <v>2.2000000000000001E-4</v>
      </c>
      <c r="Q25" s="77"/>
      <c r="R25" s="77"/>
    </row>
    <row r="26" spans="1:18" ht="18.75" customHeight="1" x14ac:dyDescent="0.3">
      <c r="A26" s="33"/>
      <c r="B26" s="33"/>
      <c r="C26" s="33"/>
      <c r="D26" s="32"/>
      <c r="E26" s="32"/>
      <c r="F26" s="32"/>
      <c r="G26" s="32"/>
      <c r="H26" s="32"/>
      <c r="I26" s="32"/>
      <c r="J26" s="32"/>
      <c r="K26" s="32"/>
      <c r="L26" s="33"/>
      <c r="M26" s="33"/>
      <c r="N26" s="33"/>
      <c r="O26" s="32"/>
    </row>
    <row r="27" spans="1:18" ht="18.75" customHeight="1" x14ac:dyDescent="0.3">
      <c r="A27" s="78" t="s">
        <v>93</v>
      </c>
      <c r="B27" s="78"/>
      <c r="C27" s="78"/>
      <c r="D27" s="32"/>
      <c r="E27" s="32"/>
      <c r="F27" s="32"/>
      <c r="G27" s="32"/>
      <c r="H27" s="32"/>
      <c r="I27" s="32"/>
      <c r="J27" s="32"/>
      <c r="K27" s="32"/>
      <c r="L27" s="33"/>
      <c r="M27" s="33"/>
      <c r="N27" s="33"/>
      <c r="O27" s="32"/>
    </row>
    <row r="28" spans="1:18" x14ac:dyDescent="0.3">
      <c r="A28" s="31" t="s">
        <v>493</v>
      </c>
      <c r="L28" s="32"/>
      <c r="M28" s="32"/>
      <c r="N28" s="32"/>
    </row>
    <row r="29" spans="1:18" ht="16.5" customHeight="1" x14ac:dyDescent="0.3">
      <c r="A29" s="78" t="s">
        <v>528</v>
      </c>
      <c r="B29" s="78"/>
      <c r="C29" s="78"/>
      <c r="D29" s="78"/>
      <c r="E29" s="78"/>
      <c r="F29" s="78"/>
      <c r="G29" s="78"/>
      <c r="H29" s="78"/>
      <c r="I29" s="78"/>
      <c r="J29" s="32"/>
      <c r="K29" s="32"/>
      <c r="L29" s="32"/>
      <c r="M29" s="32"/>
      <c r="N29" s="32"/>
      <c r="O29" s="32"/>
      <c r="P29" s="80" t="s">
        <v>94</v>
      </c>
      <c r="Q29" s="80"/>
      <c r="R29" s="80"/>
    </row>
    <row r="30" spans="1:18" ht="16.5" customHeight="1" x14ac:dyDescent="0.3">
      <c r="A30" s="75" t="s">
        <v>527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77">
        <v>0.05</v>
      </c>
      <c r="Q30" s="77"/>
      <c r="R30" s="77"/>
    </row>
    <row r="31" spans="1:18" ht="16.5" customHeight="1" x14ac:dyDescent="0.3"/>
    <row r="32" spans="1:18" x14ac:dyDescent="0.3">
      <c r="A32" s="78" t="s">
        <v>482</v>
      </c>
      <c r="B32" s="78"/>
      <c r="C32" s="78"/>
      <c r="D32" s="78"/>
      <c r="E32" s="78"/>
      <c r="F32" s="78"/>
      <c r="G32" s="78"/>
      <c r="H32" s="78"/>
      <c r="I32" s="78"/>
      <c r="P32" s="79" t="s">
        <v>94</v>
      </c>
      <c r="Q32" s="79"/>
      <c r="R32" s="79"/>
    </row>
    <row r="33" spans="1:18" x14ac:dyDescent="0.3">
      <c r="A33" s="31" t="s">
        <v>494</v>
      </c>
      <c r="P33" s="77">
        <v>1.5E-3</v>
      </c>
      <c r="Q33" s="77"/>
      <c r="R33" s="77"/>
    </row>
    <row r="35" spans="1:18" x14ac:dyDescent="0.3">
      <c r="A35" s="78" t="s">
        <v>91</v>
      </c>
      <c r="B35" s="78"/>
      <c r="C35" s="78"/>
      <c r="D35" s="78"/>
      <c r="E35" s="78"/>
      <c r="P35" s="79" t="s">
        <v>94</v>
      </c>
      <c r="Q35" s="79"/>
      <c r="R35" s="79"/>
    </row>
    <row r="36" spans="1:18" x14ac:dyDescent="0.3">
      <c r="A36" s="31" t="s">
        <v>495</v>
      </c>
      <c r="B36" s="33"/>
      <c r="C36" s="33"/>
      <c r="D36" s="33"/>
      <c r="E36" s="33"/>
      <c r="P36" s="77">
        <v>0.02</v>
      </c>
      <c r="Q36" s="77"/>
      <c r="R36" s="77"/>
    </row>
    <row r="38" spans="1:18" x14ac:dyDescent="0.3">
      <c r="A38" s="78" t="s">
        <v>516</v>
      </c>
      <c r="B38" s="78"/>
      <c r="C38" s="78"/>
      <c r="D38" s="78"/>
      <c r="E38" s="78"/>
      <c r="F38" s="78"/>
      <c r="G38" s="78"/>
      <c r="H38" s="78"/>
      <c r="I38" s="78"/>
      <c r="P38" s="79" t="s">
        <v>94</v>
      </c>
      <c r="Q38" s="79"/>
      <c r="R38" s="79"/>
    </row>
    <row r="39" spans="1:18" x14ac:dyDescent="0.3">
      <c r="A39" s="31" t="s">
        <v>496</v>
      </c>
      <c r="P39" s="77">
        <v>0.06</v>
      </c>
      <c r="Q39" s="77"/>
      <c r="R39" s="77"/>
    </row>
    <row r="40" spans="1:18" x14ac:dyDescent="0.3">
      <c r="A40" s="31" t="s">
        <v>500</v>
      </c>
      <c r="P40" s="77">
        <v>8.5000000000000006E-2</v>
      </c>
      <c r="Q40" s="77"/>
      <c r="R40" s="77"/>
    </row>
    <row r="42" spans="1:18" x14ac:dyDescent="0.3">
      <c r="B42" s="40"/>
      <c r="C42" s="40"/>
      <c r="D42" s="31" t="s">
        <v>65</v>
      </c>
      <c r="E42" s="81" t="s">
        <v>102</v>
      </c>
      <c r="F42" s="81"/>
      <c r="G42" s="81"/>
      <c r="H42" s="81"/>
      <c r="I42" s="81"/>
      <c r="J42" s="81"/>
      <c r="K42" s="81"/>
      <c r="L42" s="81"/>
      <c r="M42" s="81"/>
      <c r="N42" s="81"/>
      <c r="O42" s="81"/>
    </row>
    <row r="44" spans="1:18" ht="18.75" customHeight="1" x14ac:dyDescent="0.3">
      <c r="E44" s="32"/>
      <c r="F44" s="32"/>
      <c r="L44" s="82" t="s">
        <v>103</v>
      </c>
      <c r="M44" s="82"/>
      <c r="N44" s="82"/>
    </row>
  </sheetData>
  <mergeCells count="43">
    <mergeCell ref="P13:R13"/>
    <mergeCell ref="P14:R14"/>
    <mergeCell ref="P15:R15"/>
    <mergeCell ref="P17:R17"/>
    <mergeCell ref="P18:R18"/>
    <mergeCell ref="A3:O4"/>
    <mergeCell ref="A6:C6"/>
    <mergeCell ref="D6:O6"/>
    <mergeCell ref="A7:B7"/>
    <mergeCell ref="A8:E8"/>
    <mergeCell ref="A5:O5"/>
    <mergeCell ref="C7:O7"/>
    <mergeCell ref="F8:O8"/>
    <mergeCell ref="C9:O9"/>
    <mergeCell ref="A10:E10"/>
    <mergeCell ref="A12:O12"/>
    <mergeCell ref="A13:F13"/>
    <mergeCell ref="A9:B9"/>
    <mergeCell ref="E42:O42"/>
    <mergeCell ref="L44:N44"/>
    <mergeCell ref="A17:E17"/>
    <mergeCell ref="A27:C27"/>
    <mergeCell ref="L23:N23"/>
    <mergeCell ref="A24:I24"/>
    <mergeCell ref="A32:I32"/>
    <mergeCell ref="A38:I38"/>
    <mergeCell ref="A35:E35"/>
    <mergeCell ref="A29:I29"/>
    <mergeCell ref="P39:R39"/>
    <mergeCell ref="P40:R40"/>
    <mergeCell ref="A20:E20"/>
    <mergeCell ref="P21:R21"/>
    <mergeCell ref="P22:R22"/>
    <mergeCell ref="P20:R20"/>
    <mergeCell ref="P24:R24"/>
    <mergeCell ref="P25:R25"/>
    <mergeCell ref="P32:R32"/>
    <mergeCell ref="P33:R33"/>
    <mergeCell ref="P38:R38"/>
    <mergeCell ref="P35:R35"/>
    <mergeCell ref="P36:R36"/>
    <mergeCell ref="P29:R29"/>
    <mergeCell ref="P30:R30"/>
  </mergeCells>
  <hyperlinks>
    <hyperlink ref="L44:N44" location="Пояснювальна!A1" display="Результат" xr:uid="{00000000-0004-0000-00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5</xdr:col>
                    <xdr:colOff>22860</xdr:colOff>
                    <xdr:row>9</xdr:row>
                    <xdr:rowOff>7620</xdr:rowOff>
                  </from>
                  <to>
                    <xdr:col>14</xdr:col>
                    <xdr:colOff>373380</xdr:colOff>
                    <xdr:row>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Drop Down 2">
              <controlPr defaultSize="0" autoLine="0" autoPict="0">
                <anchor moveWithCells="1">
                  <from>
                    <xdr:col>5</xdr:col>
                    <xdr:colOff>22860</xdr:colOff>
                    <xdr:row>7</xdr:row>
                    <xdr:rowOff>22860</xdr:rowOff>
                  </from>
                  <to>
                    <xdr:col>14</xdr:col>
                    <xdr:colOff>373380</xdr:colOff>
                    <xdr:row>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Drop Down 3">
              <controlPr defaultSize="0" autoLine="0" autoPict="0">
                <anchor moveWithCells="1">
                  <from>
                    <xdr:col>1</xdr:col>
                    <xdr:colOff>0</xdr:colOff>
                    <xdr:row>13</xdr:row>
                    <xdr:rowOff>7620</xdr:rowOff>
                  </from>
                  <to>
                    <xdr:col>14</xdr:col>
                    <xdr:colOff>335280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Drop Down 5">
              <controlPr defaultSize="0" autoLine="0" autoPict="0">
                <anchor moveWithCells="1">
                  <from>
                    <xdr:col>1</xdr:col>
                    <xdr:colOff>0</xdr:colOff>
                    <xdr:row>14</xdr:row>
                    <xdr:rowOff>22860</xdr:rowOff>
                  </from>
                  <to>
                    <xdr:col>14</xdr:col>
                    <xdr:colOff>342900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Drop Down 6">
              <controlPr defaultSize="0" autoLine="0" autoPict="0">
                <anchor moveWithCells="1">
                  <from>
                    <xdr:col>1</xdr:col>
                    <xdr:colOff>7620</xdr:colOff>
                    <xdr:row>17</xdr:row>
                    <xdr:rowOff>7620</xdr:rowOff>
                  </from>
                  <to>
                    <xdr:col>14</xdr:col>
                    <xdr:colOff>365760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9" name="Drop Down 9">
              <controlPr defaultSize="0" autoLine="0" autoPict="0">
                <anchor moveWithCells="1">
                  <from>
                    <xdr:col>1</xdr:col>
                    <xdr:colOff>7620</xdr:colOff>
                    <xdr:row>27</xdr:row>
                    <xdr:rowOff>0</xdr:rowOff>
                  </from>
                  <to>
                    <xdr:col>15</xdr:col>
                    <xdr:colOff>0</xdr:colOff>
                    <xdr:row>27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0" name="Drop Down 12">
              <controlPr defaultSize="0" autoLine="0" autoPict="0">
                <anchor moveWithCells="1">
                  <from>
                    <xdr:col>1</xdr:col>
                    <xdr:colOff>7620</xdr:colOff>
                    <xdr:row>20</xdr:row>
                    <xdr:rowOff>7620</xdr:rowOff>
                  </from>
                  <to>
                    <xdr:col>14</xdr:col>
                    <xdr:colOff>365760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1" name="Drop Down 13">
              <controlPr defaultSize="0" autoLine="0" autoPict="0">
                <anchor moveWithCells="1">
                  <from>
                    <xdr:col>1</xdr:col>
                    <xdr:colOff>7620</xdr:colOff>
                    <xdr:row>21</xdr:row>
                    <xdr:rowOff>7620</xdr:rowOff>
                  </from>
                  <to>
                    <xdr:col>14</xdr:col>
                    <xdr:colOff>365760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2" name="Drop Down 14">
              <controlPr defaultSize="0" autoLine="0" autoPict="0">
                <anchor moveWithCells="1">
                  <from>
                    <xdr:col>1</xdr:col>
                    <xdr:colOff>7620</xdr:colOff>
                    <xdr:row>24</xdr:row>
                    <xdr:rowOff>7620</xdr:rowOff>
                  </from>
                  <to>
                    <xdr:col>14</xdr:col>
                    <xdr:colOff>365760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3" name="Drop Down 15">
              <controlPr defaultSize="0" autoLine="0" autoPict="0">
                <anchor moveWithCells="1">
                  <from>
                    <xdr:col>1</xdr:col>
                    <xdr:colOff>7620</xdr:colOff>
                    <xdr:row>32</xdr:row>
                    <xdr:rowOff>7620</xdr:rowOff>
                  </from>
                  <to>
                    <xdr:col>14</xdr:col>
                    <xdr:colOff>365760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4" name="Drop Down 16">
              <controlPr defaultSize="0" autoLine="0" autoPict="0">
                <anchor moveWithCells="1">
                  <from>
                    <xdr:col>1</xdr:col>
                    <xdr:colOff>7620</xdr:colOff>
                    <xdr:row>38</xdr:row>
                    <xdr:rowOff>7620</xdr:rowOff>
                  </from>
                  <to>
                    <xdr:col>14</xdr:col>
                    <xdr:colOff>365760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5" name="Drop Down 17">
              <controlPr defaultSize="0" autoLine="0" autoPict="0">
                <anchor moveWithCells="1">
                  <from>
                    <xdr:col>1</xdr:col>
                    <xdr:colOff>7620</xdr:colOff>
                    <xdr:row>39</xdr:row>
                    <xdr:rowOff>7620</xdr:rowOff>
                  </from>
                  <to>
                    <xdr:col>14</xdr:col>
                    <xdr:colOff>365760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6" name="Drop Down 18">
              <controlPr defaultSize="0" autoLine="0" autoPict="0">
                <anchor moveWithCells="1">
                  <from>
                    <xdr:col>1</xdr:col>
                    <xdr:colOff>0</xdr:colOff>
                    <xdr:row>35</xdr:row>
                    <xdr:rowOff>0</xdr:rowOff>
                  </from>
                  <to>
                    <xdr:col>14</xdr:col>
                    <xdr:colOff>373380</xdr:colOff>
                    <xdr:row>35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7" name="Drop Down 19">
              <controlPr defaultSize="0" autoLine="0" autoPict="0">
                <anchor moveWithCells="1">
                  <from>
                    <xdr:col>1</xdr:col>
                    <xdr:colOff>30480</xdr:colOff>
                    <xdr:row>29</xdr:row>
                    <xdr:rowOff>0</xdr:rowOff>
                  </from>
                  <to>
                    <xdr:col>15</xdr:col>
                    <xdr:colOff>0</xdr:colOff>
                    <xdr:row>30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63"/>
  <sheetViews>
    <sheetView zoomScale="85" zoomScaleNormal="85" workbookViewId="0">
      <selection activeCell="E69" sqref="E69"/>
    </sheetView>
  </sheetViews>
  <sheetFormatPr defaultColWidth="9.109375" defaultRowHeight="14.4" x14ac:dyDescent="0.3"/>
  <cols>
    <col min="1" max="1" width="9.109375" style="9"/>
    <col min="2" max="2" width="131.44140625" style="25" customWidth="1"/>
    <col min="3" max="16384" width="9.109375" style="9"/>
  </cols>
  <sheetData>
    <row r="2" spans="1:12" ht="15" customHeight="1" x14ac:dyDescent="0.3">
      <c r="B2" s="86" t="s">
        <v>39</v>
      </c>
      <c r="C2" s="88" t="s">
        <v>40</v>
      </c>
      <c r="D2" s="88"/>
      <c r="E2" s="88"/>
      <c r="F2" s="88" t="s">
        <v>41</v>
      </c>
      <c r="G2" s="88"/>
      <c r="H2" s="88" t="s">
        <v>42</v>
      </c>
      <c r="I2" s="88"/>
      <c r="J2" s="88"/>
      <c r="K2" s="88"/>
      <c r="L2" s="88"/>
    </row>
    <row r="3" spans="1:12" ht="25.5" customHeight="1" x14ac:dyDescent="0.3">
      <c r="B3" s="87"/>
      <c r="C3" s="11" t="s">
        <v>43</v>
      </c>
      <c r="D3" s="11" t="s">
        <v>44</v>
      </c>
      <c r="E3" s="11" t="s">
        <v>45</v>
      </c>
      <c r="F3" s="88"/>
      <c r="G3" s="88"/>
      <c r="H3" s="88" t="s">
        <v>46</v>
      </c>
      <c r="I3" s="88"/>
      <c r="J3" s="88" t="s">
        <v>47</v>
      </c>
      <c r="K3" s="88"/>
      <c r="L3" s="11" t="s">
        <v>48</v>
      </c>
    </row>
    <row r="4" spans="1:12" ht="15.6" x14ac:dyDescent="0.25">
      <c r="B4" s="12"/>
      <c r="C4" s="13"/>
      <c r="D4" s="13"/>
      <c r="E4" s="13"/>
      <c r="F4" s="14" t="s">
        <v>49</v>
      </c>
      <c r="G4" s="14" t="s">
        <v>50</v>
      </c>
      <c r="H4" s="15" t="s">
        <v>49</v>
      </c>
      <c r="I4" s="27" t="s">
        <v>50</v>
      </c>
      <c r="J4" s="14" t="s">
        <v>49</v>
      </c>
      <c r="K4" s="14" t="s">
        <v>50</v>
      </c>
      <c r="L4" s="14" t="s">
        <v>51</v>
      </c>
    </row>
    <row r="5" spans="1:12" x14ac:dyDescent="0.3">
      <c r="B5" s="16">
        <v>1</v>
      </c>
      <c r="C5" s="16">
        <v>2</v>
      </c>
      <c r="D5" s="16">
        <v>4</v>
      </c>
      <c r="E5" s="16">
        <v>5</v>
      </c>
      <c r="F5" s="16">
        <v>6</v>
      </c>
      <c r="G5" s="16">
        <v>7</v>
      </c>
      <c r="H5" s="17">
        <v>8</v>
      </c>
      <c r="I5" s="28">
        <v>9</v>
      </c>
      <c r="J5" s="16">
        <v>10</v>
      </c>
      <c r="K5" s="16">
        <v>11</v>
      </c>
      <c r="L5" s="16">
        <v>12</v>
      </c>
    </row>
    <row r="6" spans="1:12" ht="17.399999999999999" x14ac:dyDescent="0.3">
      <c r="B6" s="43" t="s">
        <v>198</v>
      </c>
      <c r="C6" s="16"/>
      <c r="D6" s="16"/>
      <c r="E6" s="16"/>
      <c r="F6" s="16"/>
      <c r="G6" s="16"/>
      <c r="H6" s="23">
        <v>1</v>
      </c>
      <c r="I6" s="30">
        <v>1</v>
      </c>
      <c r="J6" s="16"/>
      <c r="K6" s="16"/>
      <c r="L6" s="16"/>
    </row>
    <row r="7" spans="1:12" ht="15.6" x14ac:dyDescent="0.3">
      <c r="A7" s="18">
        <v>1</v>
      </c>
      <c r="B7" s="21" t="s">
        <v>106</v>
      </c>
      <c r="C7" s="22">
        <v>200</v>
      </c>
      <c r="D7" s="22">
        <v>2.2999999999999998</v>
      </c>
      <c r="E7" s="22">
        <v>0.06</v>
      </c>
      <c r="F7" s="22">
        <v>10</v>
      </c>
      <c r="G7" s="22">
        <v>12</v>
      </c>
      <c r="H7" s="23">
        <v>7.0000000000000007E-2</v>
      </c>
      <c r="I7" s="30">
        <v>0.08</v>
      </c>
      <c r="J7" s="22">
        <v>1.67</v>
      </c>
      <c r="K7" s="22">
        <v>1.81</v>
      </c>
      <c r="L7" s="22">
        <v>0.24</v>
      </c>
    </row>
    <row r="8" spans="1:12" ht="15.6" x14ac:dyDescent="0.3">
      <c r="A8" s="18">
        <v>2</v>
      </c>
      <c r="B8" s="21" t="s">
        <v>107</v>
      </c>
      <c r="C8" s="22">
        <v>400</v>
      </c>
      <c r="D8" s="22">
        <v>2.2999999999999998</v>
      </c>
      <c r="E8" s="22">
        <v>0.08</v>
      </c>
      <c r="F8" s="22">
        <v>10</v>
      </c>
      <c r="G8" s="22">
        <v>12</v>
      </c>
      <c r="H8" s="23">
        <v>0.11</v>
      </c>
      <c r="I8" s="30">
        <v>0.13</v>
      </c>
      <c r="J8" s="22">
        <v>2.95</v>
      </c>
      <c r="K8" s="22">
        <v>3.26</v>
      </c>
      <c r="L8" s="22">
        <v>0.19</v>
      </c>
    </row>
    <row r="9" spans="1:12" ht="15.6" x14ac:dyDescent="0.3">
      <c r="A9" s="18">
        <v>3</v>
      </c>
      <c r="B9" s="21" t="s">
        <v>108</v>
      </c>
      <c r="C9" s="22">
        <v>600</v>
      </c>
      <c r="D9" s="22">
        <v>2.2999999999999998</v>
      </c>
      <c r="E9" s="22">
        <v>0.11</v>
      </c>
      <c r="F9" s="22">
        <v>10</v>
      </c>
      <c r="G9" s="22">
        <v>12</v>
      </c>
      <c r="H9" s="23">
        <v>0.13</v>
      </c>
      <c r="I9" s="30">
        <v>0.16</v>
      </c>
      <c r="J9" s="22">
        <v>3.93</v>
      </c>
      <c r="K9" s="22">
        <v>4.43</v>
      </c>
      <c r="L9" s="22">
        <v>0.13</v>
      </c>
    </row>
    <row r="10" spans="1:12" ht="15.6" x14ac:dyDescent="0.3">
      <c r="A10" s="18">
        <v>4</v>
      </c>
      <c r="B10" s="21" t="s">
        <v>109</v>
      </c>
      <c r="C10" s="22">
        <v>800</v>
      </c>
      <c r="D10" s="22">
        <v>2.2999999999999998</v>
      </c>
      <c r="E10" s="22">
        <v>0.13</v>
      </c>
      <c r="F10" s="22">
        <v>10</v>
      </c>
      <c r="G10" s="22">
        <v>12</v>
      </c>
      <c r="H10" s="23">
        <v>0.19</v>
      </c>
      <c r="I10" s="30">
        <v>0.23</v>
      </c>
      <c r="J10" s="22">
        <v>5.49</v>
      </c>
      <c r="K10" s="22">
        <v>6.13</v>
      </c>
      <c r="L10" s="22">
        <v>0.12</v>
      </c>
    </row>
    <row r="11" spans="1:12" ht="15.6" x14ac:dyDescent="0.3">
      <c r="A11" s="18">
        <v>5</v>
      </c>
      <c r="B11" s="21" t="s">
        <v>110</v>
      </c>
      <c r="C11" s="22">
        <v>1000</v>
      </c>
      <c r="D11" s="22">
        <v>2.2999999999999998</v>
      </c>
      <c r="E11" s="22">
        <v>0.15</v>
      </c>
      <c r="F11" s="22">
        <v>10</v>
      </c>
      <c r="G11" s="22">
        <v>12</v>
      </c>
      <c r="H11" s="23">
        <v>0.23</v>
      </c>
      <c r="I11" s="30">
        <v>0.28999999999999998</v>
      </c>
      <c r="J11" s="22">
        <v>6.75</v>
      </c>
      <c r="K11" s="22">
        <v>7.7</v>
      </c>
      <c r="L11" s="22">
        <v>0.12</v>
      </c>
    </row>
    <row r="12" spans="1:12" ht="17.399999999999999" x14ac:dyDescent="0.3">
      <c r="A12" s="18"/>
      <c r="B12" s="43" t="s">
        <v>208</v>
      </c>
      <c r="C12" s="22"/>
      <c r="D12" s="22"/>
      <c r="E12" s="22"/>
      <c r="F12" s="22"/>
      <c r="G12" s="22"/>
      <c r="H12" s="23">
        <v>1</v>
      </c>
      <c r="I12" s="30">
        <v>1</v>
      </c>
      <c r="J12" s="22"/>
      <c r="K12" s="22"/>
      <c r="L12" s="22"/>
    </row>
    <row r="13" spans="1:12" ht="15.6" x14ac:dyDescent="0.3">
      <c r="A13" s="18">
        <v>6</v>
      </c>
      <c r="B13" s="21" t="s">
        <v>111</v>
      </c>
      <c r="C13" s="22">
        <v>600</v>
      </c>
      <c r="D13" s="22">
        <v>0.84</v>
      </c>
      <c r="E13" s="22">
        <v>0.14000000000000001</v>
      </c>
      <c r="F13" s="22">
        <v>10</v>
      </c>
      <c r="G13" s="22">
        <v>15</v>
      </c>
      <c r="H13" s="23">
        <v>0.19</v>
      </c>
      <c r="I13" s="30">
        <v>0.23</v>
      </c>
      <c r="J13" s="22">
        <v>3.24</v>
      </c>
      <c r="K13" s="22">
        <v>3.84</v>
      </c>
      <c r="L13" s="22">
        <v>0.17</v>
      </c>
    </row>
    <row r="14" spans="1:12" ht="15.6" x14ac:dyDescent="0.3">
      <c r="A14" s="18">
        <v>7</v>
      </c>
      <c r="B14" s="21" t="s">
        <v>112</v>
      </c>
      <c r="C14" s="22">
        <v>800</v>
      </c>
      <c r="D14" s="22">
        <v>0.84</v>
      </c>
      <c r="E14" s="22">
        <v>0.16</v>
      </c>
      <c r="F14" s="22">
        <v>7</v>
      </c>
      <c r="G14" s="22">
        <v>12</v>
      </c>
      <c r="H14" s="23">
        <v>0.21</v>
      </c>
      <c r="I14" s="30">
        <v>0.26</v>
      </c>
      <c r="J14" s="22">
        <v>3.73</v>
      </c>
      <c r="K14" s="22">
        <v>4.51</v>
      </c>
      <c r="L14" s="22">
        <v>0.16</v>
      </c>
    </row>
    <row r="15" spans="1:12" ht="15.6" x14ac:dyDescent="0.3">
      <c r="A15" s="18">
        <v>8</v>
      </c>
      <c r="B15" s="21" t="s">
        <v>113</v>
      </c>
      <c r="C15" s="22">
        <v>1000</v>
      </c>
      <c r="D15" s="22">
        <v>0.84</v>
      </c>
      <c r="E15" s="22">
        <v>0.21</v>
      </c>
      <c r="F15" s="22">
        <v>7</v>
      </c>
      <c r="G15" s="22">
        <v>12</v>
      </c>
      <c r="H15" s="23">
        <v>0.26</v>
      </c>
      <c r="I15" s="30">
        <v>0.3</v>
      </c>
      <c r="J15" s="22">
        <v>4.6399999999999997</v>
      </c>
      <c r="K15" s="22">
        <v>5.42</v>
      </c>
      <c r="L15" s="22">
        <v>0.15</v>
      </c>
    </row>
    <row r="16" spans="1:12" ht="15.6" x14ac:dyDescent="0.3">
      <c r="A16" s="18">
        <v>9</v>
      </c>
      <c r="B16" s="21" t="s">
        <v>114</v>
      </c>
      <c r="C16" s="22">
        <v>400</v>
      </c>
      <c r="D16" s="22">
        <v>0.84</v>
      </c>
      <c r="E16" s="22">
        <v>0.09</v>
      </c>
      <c r="F16" s="22">
        <v>6</v>
      </c>
      <c r="G16" s="22">
        <v>10</v>
      </c>
      <c r="H16" s="23">
        <v>0.13</v>
      </c>
      <c r="I16" s="30">
        <v>0.15</v>
      </c>
      <c r="J16" s="22">
        <v>2.0299999999999998</v>
      </c>
      <c r="K16" s="22">
        <v>2.35</v>
      </c>
      <c r="L16" s="22">
        <v>0.53</v>
      </c>
    </row>
    <row r="17" spans="1:13" ht="15.6" x14ac:dyDescent="0.3">
      <c r="A17" s="18">
        <v>10</v>
      </c>
      <c r="B17" s="21" t="s">
        <v>115</v>
      </c>
      <c r="C17" s="22">
        <v>500</v>
      </c>
      <c r="D17" s="22">
        <v>0.84</v>
      </c>
      <c r="E17" s="22">
        <v>0.12</v>
      </c>
      <c r="F17" s="22">
        <v>6</v>
      </c>
      <c r="G17" s="22">
        <v>10</v>
      </c>
      <c r="H17" s="23">
        <v>0.15</v>
      </c>
      <c r="I17" s="30">
        <v>0.19</v>
      </c>
      <c r="J17" s="22">
        <v>2.44</v>
      </c>
      <c r="K17" s="22">
        <v>2.95</v>
      </c>
      <c r="L17" s="22">
        <v>0.43</v>
      </c>
    </row>
    <row r="18" spans="1:13" ht="15.6" x14ac:dyDescent="0.3">
      <c r="A18" s="18">
        <v>11</v>
      </c>
      <c r="B18" s="21" t="s">
        <v>116</v>
      </c>
      <c r="C18" s="22">
        <v>200</v>
      </c>
      <c r="D18" s="22">
        <v>0.84</v>
      </c>
      <c r="E18" s="22">
        <v>6.3E-2</v>
      </c>
      <c r="F18" s="22">
        <v>4</v>
      </c>
      <c r="G18" s="22">
        <v>8</v>
      </c>
      <c r="H18" s="23">
        <v>7.1999999999999995E-2</v>
      </c>
      <c r="I18" s="30">
        <v>0.08</v>
      </c>
      <c r="J18" s="22">
        <v>1.03</v>
      </c>
      <c r="K18" s="22">
        <v>1.17</v>
      </c>
      <c r="L18" s="22">
        <v>0.35</v>
      </c>
    </row>
    <row r="19" spans="1:13" ht="15.6" x14ac:dyDescent="0.3">
      <c r="A19" s="18">
        <v>12</v>
      </c>
      <c r="B19" s="21" t="s">
        <v>117</v>
      </c>
      <c r="C19" s="22">
        <v>300</v>
      </c>
      <c r="D19" s="22">
        <v>0.84</v>
      </c>
      <c r="E19" s="22">
        <v>7.2999999999999995E-2</v>
      </c>
      <c r="F19" s="22">
        <v>4</v>
      </c>
      <c r="G19" s="22">
        <v>8</v>
      </c>
      <c r="H19" s="23">
        <v>8.2000000000000003E-2</v>
      </c>
      <c r="I19" s="30">
        <v>0.09</v>
      </c>
      <c r="J19" s="22">
        <v>1.34</v>
      </c>
      <c r="K19" s="22">
        <v>1.52</v>
      </c>
      <c r="L19" s="22">
        <v>0.28999999999999998</v>
      </c>
    </row>
    <row r="20" spans="1:13" ht="15.6" x14ac:dyDescent="0.3">
      <c r="A20" s="18">
        <v>13</v>
      </c>
      <c r="B20" s="21" t="s">
        <v>118</v>
      </c>
      <c r="C20" s="22">
        <v>1200</v>
      </c>
      <c r="D20" s="22">
        <v>0.84</v>
      </c>
      <c r="E20" s="22">
        <v>0.35</v>
      </c>
      <c r="F20" s="22">
        <v>2</v>
      </c>
      <c r="G20" s="22">
        <v>4</v>
      </c>
      <c r="H20" s="23">
        <v>0.47</v>
      </c>
      <c r="I20" s="30">
        <v>0.57999999999999996</v>
      </c>
      <c r="J20" s="22">
        <v>6.16</v>
      </c>
      <c r="K20" s="22">
        <v>7.15</v>
      </c>
      <c r="L20" s="22">
        <v>0.14000000000000001</v>
      </c>
    </row>
    <row r="21" spans="1:13" ht="15.6" x14ac:dyDescent="0.3">
      <c r="A21" s="18">
        <v>14</v>
      </c>
      <c r="B21" s="21" t="s">
        <v>119</v>
      </c>
      <c r="C21" s="22">
        <v>1400</v>
      </c>
      <c r="D21" s="22">
        <v>0.84</v>
      </c>
      <c r="E21" s="22">
        <v>0.41</v>
      </c>
      <c r="F21" s="22">
        <v>2</v>
      </c>
      <c r="G21" s="22">
        <v>4</v>
      </c>
      <c r="H21" s="23">
        <v>0.52</v>
      </c>
      <c r="I21" s="30">
        <v>0.64</v>
      </c>
      <c r="J21" s="22">
        <v>7</v>
      </c>
      <c r="K21" s="22">
        <v>8.11</v>
      </c>
      <c r="L21" s="22">
        <v>0.11</v>
      </c>
    </row>
    <row r="22" spans="1:13" ht="15.6" x14ac:dyDescent="0.3">
      <c r="A22" s="18">
        <v>15</v>
      </c>
      <c r="B22" s="21" t="s">
        <v>120</v>
      </c>
      <c r="C22" s="22">
        <v>600</v>
      </c>
      <c r="D22" s="22">
        <v>0.84</v>
      </c>
      <c r="E22" s="22">
        <v>0.1</v>
      </c>
      <c r="F22" s="22">
        <v>4</v>
      </c>
      <c r="G22" s="22">
        <v>10</v>
      </c>
      <c r="H22" s="23">
        <v>0.12</v>
      </c>
      <c r="I22" s="30">
        <v>0.17</v>
      </c>
      <c r="J22" s="22">
        <v>2.33</v>
      </c>
      <c r="K22" s="22">
        <v>3.06</v>
      </c>
      <c r="L22" s="22">
        <v>7.0000000000000007E-2</v>
      </c>
    </row>
    <row r="23" spans="1:13" ht="17.399999999999999" x14ac:dyDescent="0.3">
      <c r="A23" s="18"/>
      <c r="B23" s="43" t="s">
        <v>209</v>
      </c>
      <c r="C23" s="22"/>
      <c r="D23" s="22"/>
      <c r="E23" s="22"/>
      <c r="F23" s="22"/>
      <c r="G23" s="22"/>
      <c r="H23" s="23">
        <v>1</v>
      </c>
      <c r="I23" s="30">
        <v>1</v>
      </c>
      <c r="J23" s="22"/>
      <c r="K23" s="22"/>
      <c r="L23" s="22"/>
    </row>
    <row r="24" spans="1:13" ht="15.6" x14ac:dyDescent="0.3">
      <c r="A24" s="18">
        <v>16</v>
      </c>
      <c r="B24" s="21" t="s">
        <v>121</v>
      </c>
      <c r="C24" s="22">
        <v>1000</v>
      </c>
      <c r="D24" s="22">
        <v>0.84</v>
      </c>
      <c r="E24" s="22">
        <v>0.23</v>
      </c>
      <c r="F24" s="22">
        <v>4</v>
      </c>
      <c r="G24" s="22">
        <v>6</v>
      </c>
      <c r="H24" s="23">
        <v>0.28999999999999998</v>
      </c>
      <c r="I24" s="30">
        <v>0.35</v>
      </c>
      <c r="J24" s="22">
        <v>4.62</v>
      </c>
      <c r="K24" s="22">
        <v>5.28</v>
      </c>
      <c r="L24" s="22">
        <v>0.11</v>
      </c>
      <c r="M24" s="24"/>
    </row>
    <row r="25" spans="1:13" ht="15.6" x14ac:dyDescent="0.3">
      <c r="A25" s="18">
        <v>17</v>
      </c>
      <c r="B25" s="21" t="s">
        <v>122</v>
      </c>
      <c r="C25" s="22">
        <v>1200</v>
      </c>
      <c r="D25" s="22">
        <v>0.84</v>
      </c>
      <c r="E25" s="22">
        <v>0.35</v>
      </c>
      <c r="F25" s="22">
        <v>4</v>
      </c>
      <c r="G25" s="22">
        <v>6</v>
      </c>
      <c r="H25" s="23">
        <v>0.41</v>
      </c>
      <c r="I25" s="30">
        <v>0.47</v>
      </c>
      <c r="J25" s="22">
        <v>6.01</v>
      </c>
      <c r="K25" s="22">
        <v>6.7</v>
      </c>
      <c r="L25" s="22">
        <v>0.1</v>
      </c>
      <c r="M25" s="24"/>
    </row>
    <row r="26" spans="1:13" ht="15.6" x14ac:dyDescent="0.3">
      <c r="A26" s="18">
        <v>18</v>
      </c>
      <c r="B26" s="21" t="s">
        <v>123</v>
      </c>
      <c r="C26" s="22">
        <v>800</v>
      </c>
      <c r="D26" s="22">
        <v>0.84</v>
      </c>
      <c r="E26" s="22">
        <v>0.15</v>
      </c>
      <c r="F26" s="22">
        <v>4</v>
      </c>
      <c r="G26" s="22">
        <v>6</v>
      </c>
      <c r="H26" s="23">
        <v>0.19</v>
      </c>
      <c r="I26" s="30">
        <v>0.21</v>
      </c>
      <c r="J26" s="22">
        <v>3.34</v>
      </c>
      <c r="K26" s="22">
        <v>3.66</v>
      </c>
      <c r="L26" s="22">
        <v>7.4999999999999997E-2</v>
      </c>
      <c r="M26" s="24"/>
    </row>
    <row r="27" spans="1:13" ht="17.399999999999999" x14ac:dyDescent="0.3">
      <c r="A27" s="18"/>
      <c r="B27" s="43" t="s">
        <v>203</v>
      </c>
      <c r="C27" s="22"/>
      <c r="D27" s="22"/>
      <c r="E27" s="22"/>
      <c r="F27" s="22"/>
      <c r="G27" s="22"/>
      <c r="H27" s="23">
        <v>1</v>
      </c>
      <c r="I27" s="30">
        <v>1</v>
      </c>
      <c r="J27" s="22"/>
      <c r="K27" s="22"/>
      <c r="L27" s="22"/>
      <c r="M27" s="24"/>
    </row>
    <row r="28" spans="1:13" ht="15.6" x14ac:dyDescent="0.3">
      <c r="A28" s="18">
        <v>19</v>
      </c>
      <c r="B28" s="21" t="s">
        <v>124</v>
      </c>
      <c r="C28" s="22">
        <v>500</v>
      </c>
      <c r="D28" s="22">
        <v>2.2999999999999998</v>
      </c>
      <c r="E28" s="22">
        <v>0.09</v>
      </c>
      <c r="F28" s="22">
        <v>15</v>
      </c>
      <c r="G28" s="22">
        <v>20</v>
      </c>
      <c r="H28" s="23">
        <v>0.14000000000000001</v>
      </c>
      <c r="I28" s="30">
        <v>0.18</v>
      </c>
      <c r="J28" s="22">
        <v>3.87</v>
      </c>
      <c r="K28" s="22">
        <v>4.54</v>
      </c>
      <c r="L28" s="22">
        <v>0.06</v>
      </c>
    </row>
    <row r="29" spans="1:13" ht="15.6" x14ac:dyDescent="0.3">
      <c r="A29" s="18">
        <v>20</v>
      </c>
      <c r="B29" s="21" t="s">
        <v>125</v>
      </c>
      <c r="C29" s="22">
        <v>500</v>
      </c>
      <c r="D29" s="22">
        <v>2.2999999999999998</v>
      </c>
      <c r="E29" s="22">
        <v>0.18</v>
      </c>
      <c r="F29" s="22">
        <v>15</v>
      </c>
      <c r="G29" s="22">
        <v>20</v>
      </c>
      <c r="H29" s="23">
        <v>0.28999999999999998</v>
      </c>
      <c r="I29" s="30">
        <v>0.35</v>
      </c>
      <c r="J29" s="22">
        <v>5.56</v>
      </c>
      <c r="K29" s="22">
        <v>6.33</v>
      </c>
      <c r="L29" s="22">
        <v>0.32</v>
      </c>
    </row>
    <row r="30" spans="1:13" ht="15" customHeight="1" x14ac:dyDescent="0.3">
      <c r="A30" s="18">
        <v>21</v>
      </c>
      <c r="B30" s="21" t="s">
        <v>126</v>
      </c>
      <c r="C30" s="22">
        <v>700</v>
      </c>
      <c r="D30" s="22">
        <v>2.2999999999999998</v>
      </c>
      <c r="E30" s="22">
        <v>0.1</v>
      </c>
      <c r="F30" s="22">
        <v>10</v>
      </c>
      <c r="G30" s="22">
        <v>15</v>
      </c>
      <c r="H30" s="23">
        <v>0.18</v>
      </c>
      <c r="I30" s="30">
        <v>0.23</v>
      </c>
      <c r="J30" s="22">
        <v>5</v>
      </c>
      <c r="K30" s="22">
        <v>5.86</v>
      </c>
      <c r="L30" s="22">
        <v>0.05</v>
      </c>
    </row>
    <row r="31" spans="1:13" ht="15.6" x14ac:dyDescent="0.3">
      <c r="A31" s="18">
        <v>22</v>
      </c>
      <c r="B31" s="21" t="s">
        <v>127</v>
      </c>
      <c r="C31" s="22">
        <v>700</v>
      </c>
      <c r="D31" s="22">
        <v>2.2999999999999998</v>
      </c>
      <c r="E31" s="22">
        <v>0.23</v>
      </c>
      <c r="F31" s="22">
        <v>10</v>
      </c>
      <c r="G31" s="22">
        <v>15</v>
      </c>
      <c r="H31" s="23">
        <v>0.35</v>
      </c>
      <c r="I31" s="30">
        <v>0.41</v>
      </c>
      <c r="J31" s="22">
        <v>6.9</v>
      </c>
      <c r="K31" s="22">
        <v>7.83</v>
      </c>
      <c r="L31" s="22">
        <v>0.3</v>
      </c>
    </row>
    <row r="32" spans="1:13" ht="15.6" x14ac:dyDescent="0.3">
      <c r="A32" s="18">
        <v>23</v>
      </c>
      <c r="B32" s="21" t="s">
        <v>128</v>
      </c>
      <c r="C32" s="22">
        <v>600</v>
      </c>
      <c r="D32" s="22">
        <v>2.2999999999999998</v>
      </c>
      <c r="E32" s="22">
        <v>0.12</v>
      </c>
      <c r="F32" s="22">
        <v>10</v>
      </c>
      <c r="G32" s="22">
        <v>13</v>
      </c>
      <c r="H32" s="23">
        <v>0.15</v>
      </c>
      <c r="I32" s="30">
        <v>0.18</v>
      </c>
      <c r="J32" s="22">
        <v>4.22</v>
      </c>
      <c r="K32" s="22">
        <v>4.7300000000000004</v>
      </c>
      <c r="L32" s="22">
        <v>0.02</v>
      </c>
    </row>
    <row r="33" spans="1:12" ht="15" customHeight="1" x14ac:dyDescent="0.3">
      <c r="A33" s="18">
        <v>24</v>
      </c>
      <c r="B33" s="21" t="s">
        <v>129</v>
      </c>
      <c r="C33" s="22">
        <v>1000</v>
      </c>
      <c r="D33" s="22">
        <v>2.2999999999999998</v>
      </c>
      <c r="E33" s="22">
        <v>0.18</v>
      </c>
      <c r="F33" s="22">
        <v>5</v>
      </c>
      <c r="G33" s="22">
        <v>10</v>
      </c>
      <c r="H33" s="23">
        <v>0.21</v>
      </c>
      <c r="I33" s="30">
        <v>0.23</v>
      </c>
      <c r="J33" s="22">
        <v>6.2</v>
      </c>
      <c r="K33" s="22">
        <v>6.75</v>
      </c>
      <c r="L33" s="22">
        <v>0.06</v>
      </c>
    </row>
    <row r="34" spans="1:12" ht="15.6" x14ac:dyDescent="0.3">
      <c r="A34" s="18">
        <v>25</v>
      </c>
      <c r="B34" s="21" t="s">
        <v>130</v>
      </c>
      <c r="C34" s="22">
        <v>650</v>
      </c>
      <c r="D34" s="22">
        <v>2.2999999999999998</v>
      </c>
      <c r="E34" s="22">
        <v>0.13</v>
      </c>
      <c r="F34" s="22">
        <v>6</v>
      </c>
      <c r="G34" s="22">
        <v>12</v>
      </c>
      <c r="H34" s="23">
        <v>0.15</v>
      </c>
      <c r="I34" s="30">
        <v>0.18</v>
      </c>
      <c r="J34" s="22">
        <v>4.26</v>
      </c>
      <c r="K34" s="22">
        <v>4.8899999999999997</v>
      </c>
      <c r="L34" s="22">
        <v>8.3000000000000004E-2</v>
      </c>
    </row>
    <row r="35" spans="1:12" ht="17.399999999999999" x14ac:dyDescent="0.3">
      <c r="A35" s="18"/>
      <c r="B35" s="43" t="s">
        <v>210</v>
      </c>
      <c r="C35" s="22"/>
      <c r="D35" s="22"/>
      <c r="E35" s="22"/>
      <c r="F35" s="22"/>
      <c r="G35" s="22"/>
      <c r="H35" s="23">
        <v>1</v>
      </c>
      <c r="I35" s="30">
        <v>1</v>
      </c>
      <c r="J35" s="22"/>
      <c r="K35" s="22"/>
      <c r="L35" s="22"/>
    </row>
    <row r="36" spans="1:12" ht="15.6" x14ac:dyDescent="0.3">
      <c r="A36" s="18">
        <v>26</v>
      </c>
      <c r="B36" s="21" t="s">
        <v>131</v>
      </c>
      <c r="C36" s="22">
        <v>1600</v>
      </c>
      <c r="D36" s="22">
        <v>0.84</v>
      </c>
      <c r="E36" s="22">
        <v>0.47</v>
      </c>
      <c r="F36" s="22">
        <v>2</v>
      </c>
      <c r="G36" s="22">
        <v>4</v>
      </c>
      <c r="H36" s="23">
        <v>0.7</v>
      </c>
      <c r="I36" s="30">
        <v>0.81</v>
      </c>
      <c r="J36" s="22">
        <v>8.69</v>
      </c>
      <c r="K36" s="22">
        <v>9.76</v>
      </c>
      <c r="L36" s="22">
        <v>0.12</v>
      </c>
    </row>
    <row r="37" spans="1:12" ht="15.6" x14ac:dyDescent="0.3">
      <c r="A37" s="18">
        <v>27</v>
      </c>
      <c r="B37" s="21" t="s">
        <v>132</v>
      </c>
      <c r="C37" s="22">
        <v>1700</v>
      </c>
      <c r="D37" s="22">
        <v>0.84</v>
      </c>
      <c r="E37" s="22">
        <v>0.52</v>
      </c>
      <c r="F37" s="22">
        <v>2</v>
      </c>
      <c r="G37" s="22">
        <v>4</v>
      </c>
      <c r="H37" s="23">
        <v>0.7</v>
      </c>
      <c r="I37" s="30">
        <v>0.87</v>
      </c>
      <c r="J37" s="22">
        <v>8.9499999999999993</v>
      </c>
      <c r="K37" s="22">
        <v>10.42</v>
      </c>
      <c r="L37" s="22">
        <v>9.8000000000000004E-2</v>
      </c>
    </row>
    <row r="38" spans="1:12" ht="15.6" x14ac:dyDescent="0.3">
      <c r="A38" s="18">
        <v>28</v>
      </c>
      <c r="B38" s="21" t="s">
        <v>133</v>
      </c>
      <c r="C38" s="22">
        <v>1800</v>
      </c>
      <c r="D38" s="22">
        <v>0.84</v>
      </c>
      <c r="E38" s="22">
        <v>0.57999999999999996</v>
      </c>
      <c r="F38" s="22">
        <v>2</v>
      </c>
      <c r="G38" s="22">
        <v>4</v>
      </c>
      <c r="H38" s="23">
        <v>0.76</v>
      </c>
      <c r="I38" s="30">
        <v>0.93</v>
      </c>
      <c r="J38" s="22">
        <v>9.6</v>
      </c>
      <c r="K38" s="22">
        <v>11.09</v>
      </c>
      <c r="L38" s="22">
        <v>0.09</v>
      </c>
    </row>
    <row r="39" spans="1:12" ht="17.399999999999999" x14ac:dyDescent="0.3">
      <c r="A39" s="18"/>
      <c r="B39" s="43" t="s">
        <v>211</v>
      </c>
      <c r="C39" s="22"/>
      <c r="D39" s="22"/>
      <c r="E39" s="22"/>
      <c r="F39" s="22"/>
      <c r="G39" s="22"/>
      <c r="H39" s="23">
        <v>1</v>
      </c>
      <c r="I39" s="30">
        <v>1</v>
      </c>
      <c r="J39" s="22"/>
      <c r="K39" s="22"/>
      <c r="L39" s="22"/>
    </row>
    <row r="40" spans="1:12" ht="15.6" x14ac:dyDescent="0.3">
      <c r="A40" s="18">
        <v>29</v>
      </c>
      <c r="B40" s="21" t="s">
        <v>134</v>
      </c>
      <c r="C40" s="22">
        <v>2800</v>
      </c>
      <c r="D40" s="22">
        <v>0.88</v>
      </c>
      <c r="E40" s="22">
        <v>3.49</v>
      </c>
      <c r="F40" s="22">
        <v>0</v>
      </c>
      <c r="G40" s="22">
        <v>0</v>
      </c>
      <c r="H40" s="23">
        <v>3.49</v>
      </c>
      <c r="I40" s="30">
        <v>3.49</v>
      </c>
      <c r="J40" s="22">
        <v>25.04</v>
      </c>
      <c r="K40" s="22">
        <v>25.04</v>
      </c>
      <c r="L40" s="22">
        <v>8.0000000000000002E-3</v>
      </c>
    </row>
    <row r="41" spans="1:12" ht="15.6" x14ac:dyDescent="0.3">
      <c r="A41" s="18">
        <v>30</v>
      </c>
      <c r="B41" s="21" t="s">
        <v>145</v>
      </c>
      <c r="C41" s="22">
        <v>2800</v>
      </c>
      <c r="D41" s="22">
        <v>0.88</v>
      </c>
      <c r="E41" s="22">
        <v>2.91</v>
      </c>
      <c r="F41" s="22">
        <v>0</v>
      </c>
      <c r="G41" s="22">
        <v>0</v>
      </c>
      <c r="H41" s="23">
        <v>2.91</v>
      </c>
      <c r="I41" s="30">
        <v>2.91</v>
      </c>
      <c r="J41" s="22">
        <v>22.86</v>
      </c>
      <c r="K41" s="22">
        <v>22.86</v>
      </c>
      <c r="L41" s="22">
        <v>8.0000000000000002E-3</v>
      </c>
    </row>
    <row r="42" spans="1:12" ht="15.6" x14ac:dyDescent="0.3">
      <c r="A42" s="18">
        <v>31</v>
      </c>
      <c r="B42" s="21" t="s">
        <v>135</v>
      </c>
      <c r="C42" s="22">
        <v>1600</v>
      </c>
      <c r="D42" s="22">
        <v>0.88</v>
      </c>
      <c r="E42" s="22">
        <v>0.57999999999999996</v>
      </c>
      <c r="F42" s="22">
        <v>2</v>
      </c>
      <c r="G42" s="22">
        <v>3</v>
      </c>
      <c r="H42" s="23">
        <v>0.73</v>
      </c>
      <c r="I42" s="30">
        <v>0.81</v>
      </c>
      <c r="J42" s="22">
        <v>9.06</v>
      </c>
      <c r="K42" s="22">
        <v>9.75</v>
      </c>
      <c r="L42" s="22">
        <v>0.09</v>
      </c>
    </row>
    <row r="43" spans="1:12" ht="15.6" x14ac:dyDescent="0.3">
      <c r="A43" s="18">
        <v>32</v>
      </c>
      <c r="B43" s="21" t="s">
        <v>136</v>
      </c>
      <c r="C43" s="22">
        <v>1800</v>
      </c>
      <c r="D43" s="22">
        <v>0.88</v>
      </c>
      <c r="E43" s="22">
        <v>0.7</v>
      </c>
      <c r="F43" s="22">
        <v>2</v>
      </c>
      <c r="G43" s="22">
        <v>3</v>
      </c>
      <c r="H43" s="23">
        <v>0.93</v>
      </c>
      <c r="I43" s="30">
        <v>1.05</v>
      </c>
      <c r="J43" s="22">
        <v>10.85</v>
      </c>
      <c r="K43" s="22">
        <v>11.77</v>
      </c>
      <c r="L43" s="22">
        <v>7.4999999999999997E-2</v>
      </c>
    </row>
    <row r="44" spans="1:12" ht="15.6" x14ac:dyDescent="0.3">
      <c r="A44" s="18">
        <v>33</v>
      </c>
      <c r="B44" s="21" t="s">
        <v>137</v>
      </c>
      <c r="C44" s="22">
        <v>2000</v>
      </c>
      <c r="D44" s="22">
        <v>0.88</v>
      </c>
      <c r="E44" s="22">
        <v>0.93</v>
      </c>
      <c r="F44" s="22">
        <v>2</v>
      </c>
      <c r="G44" s="22">
        <v>3</v>
      </c>
      <c r="H44" s="23">
        <v>1.1599999999999999</v>
      </c>
      <c r="I44" s="30">
        <v>1.28</v>
      </c>
      <c r="J44" s="22">
        <v>12.77</v>
      </c>
      <c r="K44" s="22">
        <v>13.7</v>
      </c>
      <c r="L44" s="22">
        <v>0.06</v>
      </c>
    </row>
    <row r="45" spans="1:12" ht="15.6" x14ac:dyDescent="0.3">
      <c r="A45" s="18">
        <v>34</v>
      </c>
      <c r="B45" s="21" t="s">
        <v>144</v>
      </c>
      <c r="C45" s="22">
        <v>1000</v>
      </c>
      <c r="D45" s="22">
        <v>0.88</v>
      </c>
      <c r="E45" s="22">
        <v>0.21</v>
      </c>
      <c r="F45" s="22">
        <v>3</v>
      </c>
      <c r="G45" s="22">
        <v>5</v>
      </c>
      <c r="H45" s="23">
        <v>0.24</v>
      </c>
      <c r="I45" s="30">
        <v>0.28999999999999998</v>
      </c>
      <c r="J45" s="22">
        <v>4.2</v>
      </c>
      <c r="K45" s="22">
        <v>4.8</v>
      </c>
      <c r="L45" s="22">
        <v>0.11</v>
      </c>
    </row>
    <row r="46" spans="1:12" ht="15.6" x14ac:dyDescent="0.3">
      <c r="A46" s="18">
        <v>35</v>
      </c>
      <c r="B46" s="21" t="s">
        <v>138</v>
      </c>
      <c r="C46" s="22">
        <v>1200</v>
      </c>
      <c r="D46" s="22">
        <v>0.88</v>
      </c>
      <c r="E46" s="22">
        <v>0.27</v>
      </c>
      <c r="F46" s="22">
        <v>3</v>
      </c>
      <c r="G46" s="22">
        <v>5</v>
      </c>
      <c r="H46" s="23">
        <v>0.35</v>
      </c>
      <c r="I46" s="30">
        <v>0.41</v>
      </c>
      <c r="J46" s="22">
        <v>5.55</v>
      </c>
      <c r="K46" s="22">
        <v>6.25</v>
      </c>
      <c r="L46" s="22">
        <v>0.11</v>
      </c>
    </row>
    <row r="47" spans="1:12" ht="15.6" x14ac:dyDescent="0.3">
      <c r="A47" s="18">
        <v>36</v>
      </c>
      <c r="B47" s="21" t="s">
        <v>139</v>
      </c>
      <c r="C47" s="22">
        <v>1400</v>
      </c>
      <c r="D47" s="22">
        <v>0.88</v>
      </c>
      <c r="E47" s="22">
        <v>0.33</v>
      </c>
      <c r="F47" s="22">
        <v>3</v>
      </c>
      <c r="G47" s="22">
        <v>5</v>
      </c>
      <c r="H47" s="23">
        <v>0.43</v>
      </c>
      <c r="I47" s="30">
        <v>0.52</v>
      </c>
      <c r="J47" s="22">
        <v>6.64</v>
      </c>
      <c r="K47" s="22">
        <v>7.6</v>
      </c>
      <c r="L47" s="22">
        <v>9.8000000000000004E-2</v>
      </c>
    </row>
    <row r="48" spans="1:12" ht="15.6" x14ac:dyDescent="0.3">
      <c r="A48" s="18">
        <v>37</v>
      </c>
      <c r="B48" s="21" t="s">
        <v>140</v>
      </c>
      <c r="C48" s="22">
        <v>1600</v>
      </c>
      <c r="D48" s="22">
        <v>0.88</v>
      </c>
      <c r="E48" s="22">
        <v>0.41</v>
      </c>
      <c r="F48" s="22">
        <v>3</v>
      </c>
      <c r="G48" s="22">
        <v>5</v>
      </c>
      <c r="H48" s="23">
        <v>0.52</v>
      </c>
      <c r="I48" s="30">
        <v>0.64</v>
      </c>
      <c r="J48" s="22">
        <v>7.81</v>
      </c>
      <c r="K48" s="22">
        <v>9.02</v>
      </c>
      <c r="L48" s="22">
        <v>0.09</v>
      </c>
    </row>
    <row r="49" spans="1:12" ht="15.6" x14ac:dyDescent="0.3">
      <c r="A49" s="18">
        <v>38</v>
      </c>
      <c r="B49" s="21" t="s">
        <v>142</v>
      </c>
      <c r="C49" s="22">
        <v>1800</v>
      </c>
      <c r="D49" s="22">
        <v>0.88</v>
      </c>
      <c r="E49" s="22">
        <v>0.56000000000000005</v>
      </c>
      <c r="F49" s="22">
        <v>3</v>
      </c>
      <c r="G49" s="22">
        <v>5</v>
      </c>
      <c r="H49" s="23">
        <v>0.7</v>
      </c>
      <c r="I49" s="30">
        <v>0.81</v>
      </c>
      <c r="J49" s="22">
        <v>9.61</v>
      </c>
      <c r="K49" s="22">
        <v>10.76</v>
      </c>
      <c r="L49" s="22">
        <v>8.3000000000000004E-2</v>
      </c>
    </row>
    <row r="50" spans="1:12" ht="15.6" x14ac:dyDescent="0.3">
      <c r="A50" s="18">
        <v>39</v>
      </c>
      <c r="B50" s="21" t="s">
        <v>143</v>
      </c>
      <c r="C50" s="22">
        <v>2000</v>
      </c>
      <c r="D50" s="22">
        <v>0.88</v>
      </c>
      <c r="E50" s="22">
        <v>0.76</v>
      </c>
      <c r="F50" s="22">
        <v>3</v>
      </c>
      <c r="G50" s="22">
        <v>5</v>
      </c>
      <c r="H50" s="23">
        <v>0.93</v>
      </c>
      <c r="I50" s="30">
        <v>1.05</v>
      </c>
      <c r="J50" s="22">
        <v>11.68</v>
      </c>
      <c r="K50" s="22">
        <v>12.92</v>
      </c>
      <c r="L50" s="22">
        <v>7.4999999999999997E-2</v>
      </c>
    </row>
    <row r="51" spans="1:12" ht="15.6" x14ac:dyDescent="0.3">
      <c r="A51" s="18">
        <v>40</v>
      </c>
      <c r="B51" s="21" t="s">
        <v>141</v>
      </c>
      <c r="C51" s="22">
        <v>2000</v>
      </c>
      <c r="D51" s="22">
        <v>0.88</v>
      </c>
      <c r="E51" s="22">
        <v>0.89</v>
      </c>
      <c r="F51" s="22">
        <v>3</v>
      </c>
      <c r="G51" s="22">
        <v>5</v>
      </c>
      <c r="H51" s="23">
        <v>0.96</v>
      </c>
      <c r="I51" s="30">
        <v>1.1000000000000001</v>
      </c>
      <c r="J51" s="22">
        <v>11.63</v>
      </c>
      <c r="K51" s="22">
        <v>12.55</v>
      </c>
      <c r="L51" s="22">
        <v>0.06</v>
      </c>
    </row>
    <row r="52" spans="1:12" ht="17.399999999999999" x14ac:dyDescent="0.3">
      <c r="A52" s="18"/>
      <c r="B52" s="43" t="s">
        <v>212</v>
      </c>
      <c r="C52" s="22"/>
      <c r="D52" s="22"/>
      <c r="E52" s="22"/>
      <c r="F52" s="22"/>
      <c r="G52" s="22"/>
      <c r="H52" s="23">
        <v>1</v>
      </c>
      <c r="I52" s="30">
        <v>1</v>
      </c>
      <c r="J52" s="22"/>
      <c r="K52" s="22"/>
      <c r="L52" s="22"/>
    </row>
    <row r="53" spans="1:12" ht="15.6" x14ac:dyDescent="0.3">
      <c r="A53" s="18">
        <v>43</v>
      </c>
      <c r="B53" s="21" t="s">
        <v>146</v>
      </c>
      <c r="C53" s="22">
        <v>7850</v>
      </c>
      <c r="D53" s="22">
        <v>0.48199999999999998</v>
      </c>
      <c r="E53" s="22">
        <v>58</v>
      </c>
      <c r="F53" s="22">
        <v>0</v>
      </c>
      <c r="G53" s="22">
        <v>0</v>
      </c>
      <c r="H53" s="23">
        <v>58</v>
      </c>
      <c r="I53" s="30">
        <v>58</v>
      </c>
      <c r="J53" s="22">
        <v>126.5</v>
      </c>
      <c r="K53" s="22">
        <v>126.5</v>
      </c>
      <c r="L53" s="22">
        <v>0</v>
      </c>
    </row>
    <row r="54" spans="1:12" ht="15.6" x14ac:dyDescent="0.3">
      <c r="A54" s="18">
        <v>44</v>
      </c>
      <c r="B54" s="21" t="s">
        <v>147</v>
      </c>
      <c r="C54" s="22">
        <v>7200</v>
      </c>
      <c r="D54" s="22">
        <v>0.48199999999999998</v>
      </c>
      <c r="E54" s="22">
        <v>50</v>
      </c>
      <c r="F54" s="22">
        <v>0</v>
      </c>
      <c r="G54" s="22">
        <v>0</v>
      </c>
      <c r="H54" s="23">
        <v>50</v>
      </c>
      <c r="I54" s="30">
        <v>50</v>
      </c>
      <c r="J54" s="22">
        <v>112.5</v>
      </c>
      <c r="K54" s="22">
        <v>112.5</v>
      </c>
      <c r="L54" s="22">
        <v>0</v>
      </c>
    </row>
    <row r="55" spans="1:12" ht="15.6" x14ac:dyDescent="0.3">
      <c r="A55" s="18">
        <v>45</v>
      </c>
      <c r="B55" s="21" t="s">
        <v>148</v>
      </c>
      <c r="C55" s="22">
        <v>2600</v>
      </c>
      <c r="D55" s="22">
        <v>0.84</v>
      </c>
      <c r="E55" s="22">
        <v>221</v>
      </c>
      <c r="F55" s="22">
        <v>0</v>
      </c>
      <c r="G55" s="22">
        <v>0</v>
      </c>
      <c r="H55" s="23">
        <v>221</v>
      </c>
      <c r="I55" s="30">
        <v>221</v>
      </c>
      <c r="J55" s="22">
        <v>187.6</v>
      </c>
      <c r="K55" s="22">
        <v>187.6</v>
      </c>
      <c r="L55" s="22">
        <v>0</v>
      </c>
    </row>
    <row r="56" spans="1:12" ht="15.6" x14ac:dyDescent="0.3">
      <c r="A56" s="18">
        <v>46</v>
      </c>
      <c r="B56" s="21" t="s">
        <v>149</v>
      </c>
      <c r="C56" s="22">
        <v>8500</v>
      </c>
      <c r="D56" s="22">
        <v>0.42</v>
      </c>
      <c r="E56" s="22">
        <v>407</v>
      </c>
      <c r="F56" s="22">
        <v>0</v>
      </c>
      <c r="G56" s="22">
        <v>0</v>
      </c>
      <c r="H56" s="23">
        <v>407</v>
      </c>
      <c r="I56" s="30">
        <v>407</v>
      </c>
      <c r="J56" s="22">
        <v>326</v>
      </c>
      <c r="K56" s="22">
        <v>326</v>
      </c>
      <c r="L56" s="22">
        <v>0</v>
      </c>
    </row>
    <row r="57" spans="1:12" ht="15.6" x14ac:dyDescent="0.3">
      <c r="A57" s="18">
        <v>47</v>
      </c>
      <c r="B57" s="21" t="s">
        <v>150</v>
      </c>
      <c r="C57" s="22">
        <v>2500</v>
      </c>
      <c r="D57" s="22">
        <v>0.84</v>
      </c>
      <c r="E57" s="22">
        <v>0.76</v>
      </c>
      <c r="F57" s="22">
        <v>0</v>
      </c>
      <c r="G57" s="22">
        <v>0</v>
      </c>
      <c r="H57" s="23">
        <v>0.76</v>
      </c>
      <c r="I57" s="30">
        <v>0.76</v>
      </c>
      <c r="J57" s="22">
        <v>10.79</v>
      </c>
      <c r="K57" s="22">
        <v>10.79</v>
      </c>
      <c r="L57" s="22">
        <v>0</v>
      </c>
    </row>
    <row r="58" spans="1:12" ht="15.6" x14ac:dyDescent="0.3">
      <c r="A58" s="38">
        <v>48</v>
      </c>
      <c r="B58" s="21" t="s">
        <v>197</v>
      </c>
      <c r="C58" s="10"/>
      <c r="D58" s="10"/>
      <c r="E58" s="10"/>
      <c r="F58" s="10"/>
      <c r="G58" s="10"/>
      <c r="H58" s="23">
        <v>1</v>
      </c>
      <c r="I58" s="30">
        <v>1</v>
      </c>
      <c r="J58" s="22"/>
      <c r="K58" s="22"/>
      <c r="L58" s="22">
        <v>1</v>
      </c>
    </row>
    <row r="59" spans="1:12" ht="15.6" x14ac:dyDescent="0.3">
      <c r="A59" s="38">
        <v>1</v>
      </c>
      <c r="B59" s="55">
        <v>53</v>
      </c>
      <c r="H59" s="26"/>
      <c r="I59" s="24"/>
      <c r="J59" s="24"/>
      <c r="K59" s="24"/>
      <c r="L59" s="24"/>
    </row>
    <row r="60" spans="1:12" ht="15.6" x14ac:dyDescent="0.3">
      <c r="A60" s="38">
        <v>2</v>
      </c>
      <c r="B60" s="57">
        <v>53</v>
      </c>
    </row>
    <row r="62" spans="1:12" x14ac:dyDescent="0.3">
      <c r="B62" s="59" t="str">
        <f>INDEX(B6:B58,$B$59)</f>
        <v>Немає</v>
      </c>
      <c r="C62" s="60">
        <f t="shared" ref="C62:L62" si="0">INDEX(C6:C58,$B$59)</f>
        <v>0</v>
      </c>
      <c r="D62" s="59">
        <f t="shared" si="0"/>
        <v>0</v>
      </c>
      <c r="E62" s="59">
        <f t="shared" si="0"/>
        <v>0</v>
      </c>
      <c r="F62" s="59">
        <f t="shared" si="0"/>
        <v>0</v>
      </c>
      <c r="G62" s="59">
        <f t="shared" si="0"/>
        <v>0</v>
      </c>
      <c r="H62" s="59">
        <f t="shared" si="0"/>
        <v>1</v>
      </c>
      <c r="I62" s="60">
        <f t="shared" si="0"/>
        <v>1</v>
      </c>
      <c r="J62" s="59">
        <f t="shared" si="0"/>
        <v>0</v>
      </c>
      <c r="K62" s="59">
        <f t="shared" si="0"/>
        <v>0</v>
      </c>
      <c r="L62" s="59">
        <f t="shared" si="0"/>
        <v>1</v>
      </c>
    </row>
    <row r="63" spans="1:12" x14ac:dyDescent="0.3">
      <c r="B63" s="59" t="str">
        <f>INDEX(B6:B58,$B$60)</f>
        <v>Немає</v>
      </c>
      <c r="C63" s="60">
        <f t="shared" ref="C63:L63" si="1">INDEX(C6:C58,$B$60)</f>
        <v>0</v>
      </c>
      <c r="D63" s="59">
        <f t="shared" si="1"/>
        <v>0</v>
      </c>
      <c r="E63" s="59">
        <f t="shared" si="1"/>
        <v>0</v>
      </c>
      <c r="F63" s="59">
        <f t="shared" si="1"/>
        <v>0</v>
      </c>
      <c r="G63" s="59">
        <f t="shared" si="1"/>
        <v>0</v>
      </c>
      <c r="H63" s="59">
        <f t="shared" si="1"/>
        <v>1</v>
      </c>
      <c r="I63" s="60">
        <f t="shared" si="1"/>
        <v>1</v>
      </c>
      <c r="J63" s="59">
        <f t="shared" si="1"/>
        <v>0</v>
      </c>
      <c r="K63" s="59">
        <f t="shared" si="1"/>
        <v>0</v>
      </c>
      <c r="L63" s="59">
        <f t="shared" si="1"/>
        <v>1</v>
      </c>
    </row>
  </sheetData>
  <mergeCells count="6">
    <mergeCell ref="B2:B3"/>
    <mergeCell ref="C2:E2"/>
    <mergeCell ref="F2:G3"/>
    <mergeCell ref="H2:L2"/>
    <mergeCell ref="H3:I3"/>
    <mergeCell ref="J3:K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2:L28"/>
  <sheetViews>
    <sheetView zoomScaleNormal="100" workbookViewId="0">
      <selection activeCell="B12" sqref="B12"/>
    </sheetView>
  </sheetViews>
  <sheetFormatPr defaultColWidth="9.109375" defaultRowHeight="14.4" x14ac:dyDescent="0.3"/>
  <cols>
    <col min="1" max="1" width="9.109375" style="9"/>
    <col min="2" max="2" width="131.44140625" style="25" customWidth="1"/>
    <col min="3" max="16384" width="9.109375" style="9"/>
  </cols>
  <sheetData>
    <row r="2" spans="1:12" ht="15" customHeight="1" x14ac:dyDescent="0.3">
      <c r="B2" s="86" t="s">
        <v>39</v>
      </c>
      <c r="C2" s="88" t="s">
        <v>40</v>
      </c>
      <c r="D2" s="88"/>
      <c r="E2" s="88"/>
      <c r="F2" s="88" t="s">
        <v>41</v>
      </c>
      <c r="G2" s="88"/>
      <c r="H2" s="88" t="s">
        <v>42</v>
      </c>
      <c r="I2" s="88"/>
      <c r="J2" s="88"/>
      <c r="K2" s="88"/>
      <c r="L2" s="88"/>
    </row>
    <row r="3" spans="1:12" ht="25.5" customHeight="1" x14ac:dyDescent="0.3">
      <c r="B3" s="87"/>
      <c r="C3" s="11" t="s">
        <v>43</v>
      </c>
      <c r="D3" s="11" t="s">
        <v>44</v>
      </c>
      <c r="E3" s="11" t="s">
        <v>45</v>
      </c>
      <c r="F3" s="88"/>
      <c r="G3" s="88"/>
      <c r="H3" s="88" t="s">
        <v>46</v>
      </c>
      <c r="I3" s="88"/>
      <c r="J3" s="88" t="s">
        <v>47</v>
      </c>
      <c r="K3" s="88"/>
      <c r="L3" s="11" t="s">
        <v>48</v>
      </c>
    </row>
    <row r="4" spans="1:12" ht="15.6" x14ac:dyDescent="0.25">
      <c r="B4" s="12"/>
      <c r="C4" s="13"/>
      <c r="D4" s="13"/>
      <c r="E4" s="13"/>
      <c r="F4" s="14" t="s">
        <v>49</v>
      </c>
      <c r="G4" s="14" t="s">
        <v>50</v>
      </c>
      <c r="H4" s="15" t="s">
        <v>49</v>
      </c>
      <c r="I4" s="14" t="s">
        <v>50</v>
      </c>
      <c r="J4" s="14" t="s">
        <v>49</v>
      </c>
      <c r="K4" s="14" t="s">
        <v>50</v>
      </c>
      <c r="L4" s="14" t="s">
        <v>51</v>
      </c>
    </row>
    <row r="5" spans="1:12" x14ac:dyDescent="0.3">
      <c r="B5" s="16">
        <v>1</v>
      </c>
      <c r="C5" s="16">
        <v>2</v>
      </c>
      <c r="D5" s="16">
        <v>4</v>
      </c>
      <c r="E5" s="16">
        <v>5</v>
      </c>
      <c r="F5" s="16">
        <v>6</v>
      </c>
      <c r="G5" s="16">
        <v>7</v>
      </c>
      <c r="H5" s="17">
        <v>8</v>
      </c>
      <c r="I5" s="16">
        <v>9</v>
      </c>
      <c r="J5" s="16">
        <v>10</v>
      </c>
      <c r="K5" s="16">
        <v>11</v>
      </c>
      <c r="L5" s="16">
        <v>12</v>
      </c>
    </row>
    <row r="6" spans="1:12" ht="17.399999999999999" x14ac:dyDescent="0.3">
      <c r="B6" s="58" t="s">
        <v>203</v>
      </c>
      <c r="C6" s="10"/>
      <c r="D6" s="10"/>
      <c r="E6" s="10"/>
      <c r="F6" s="10"/>
      <c r="G6" s="10"/>
      <c r="H6" s="23">
        <v>1</v>
      </c>
      <c r="I6" s="22">
        <v>1</v>
      </c>
      <c r="J6" s="10"/>
      <c r="K6" s="10"/>
      <c r="L6" s="10"/>
    </row>
    <row r="7" spans="1:12" ht="15.6" x14ac:dyDescent="0.3">
      <c r="A7" s="18">
        <v>1</v>
      </c>
      <c r="B7" s="21" t="s">
        <v>512</v>
      </c>
      <c r="C7" s="22">
        <v>1300</v>
      </c>
      <c r="D7" s="22">
        <v>2.2999999999999998</v>
      </c>
      <c r="E7" s="22">
        <v>0.09</v>
      </c>
      <c r="F7" s="22">
        <v>15</v>
      </c>
      <c r="G7" s="22">
        <v>20</v>
      </c>
      <c r="H7" s="23">
        <v>0.14000000000000001</v>
      </c>
      <c r="I7" s="22">
        <v>0.26</v>
      </c>
      <c r="J7" s="22">
        <v>3.87</v>
      </c>
      <c r="K7" s="22">
        <v>4.54</v>
      </c>
      <c r="L7" s="22">
        <v>0.06</v>
      </c>
    </row>
    <row r="8" spans="1:12" ht="15.6" x14ac:dyDescent="0.3">
      <c r="A8" s="18">
        <v>2</v>
      </c>
      <c r="B8" s="21" t="s">
        <v>125</v>
      </c>
      <c r="C8" s="22">
        <v>500</v>
      </c>
      <c r="D8" s="22">
        <v>2.2999999999999998</v>
      </c>
      <c r="E8" s="22">
        <v>0.18</v>
      </c>
      <c r="F8" s="22">
        <v>15</v>
      </c>
      <c r="G8" s="22">
        <v>20</v>
      </c>
      <c r="H8" s="23">
        <v>0.28999999999999998</v>
      </c>
      <c r="I8" s="22">
        <v>0.35</v>
      </c>
      <c r="J8" s="22">
        <v>5.56</v>
      </c>
      <c r="K8" s="22">
        <v>6.33</v>
      </c>
      <c r="L8" s="22">
        <v>0.32</v>
      </c>
    </row>
    <row r="9" spans="1:12" ht="15" customHeight="1" x14ac:dyDescent="0.3">
      <c r="A9" s="18">
        <v>3</v>
      </c>
      <c r="B9" s="21" t="s">
        <v>126</v>
      </c>
      <c r="C9" s="22">
        <v>700</v>
      </c>
      <c r="D9" s="22">
        <v>2.2999999999999998</v>
      </c>
      <c r="E9" s="22">
        <v>0.1</v>
      </c>
      <c r="F9" s="22">
        <v>10</v>
      </c>
      <c r="G9" s="22">
        <v>15</v>
      </c>
      <c r="H9" s="23">
        <v>0.18</v>
      </c>
      <c r="I9" s="22">
        <v>0.23</v>
      </c>
      <c r="J9" s="22">
        <v>5</v>
      </c>
      <c r="K9" s="22">
        <v>5.86</v>
      </c>
      <c r="L9" s="22">
        <v>0.05</v>
      </c>
    </row>
    <row r="10" spans="1:12" ht="15.6" x14ac:dyDescent="0.3">
      <c r="A10" s="18">
        <v>4</v>
      </c>
      <c r="B10" s="21" t="s">
        <v>127</v>
      </c>
      <c r="C10" s="22">
        <v>700</v>
      </c>
      <c r="D10" s="22">
        <v>2.2999999999999998</v>
      </c>
      <c r="E10" s="22">
        <v>0.23</v>
      </c>
      <c r="F10" s="22">
        <v>10</v>
      </c>
      <c r="G10" s="22">
        <v>15</v>
      </c>
      <c r="H10" s="23">
        <v>0.35</v>
      </c>
      <c r="I10" s="22">
        <v>0.41</v>
      </c>
      <c r="J10" s="22">
        <v>6.9</v>
      </c>
      <c r="K10" s="22">
        <v>7.83</v>
      </c>
      <c r="L10" s="22">
        <v>0.3</v>
      </c>
    </row>
    <row r="11" spans="1:12" ht="15.6" x14ac:dyDescent="0.3">
      <c r="A11" s="18">
        <v>5</v>
      </c>
      <c r="B11" s="21" t="s">
        <v>128</v>
      </c>
      <c r="C11" s="22">
        <v>600</v>
      </c>
      <c r="D11" s="22">
        <v>2.2999999999999998</v>
      </c>
      <c r="E11" s="22">
        <v>0.12</v>
      </c>
      <c r="F11" s="22">
        <v>10</v>
      </c>
      <c r="G11" s="22">
        <v>13</v>
      </c>
      <c r="H11" s="23">
        <v>0.15</v>
      </c>
      <c r="I11" s="22">
        <v>0.18</v>
      </c>
      <c r="J11" s="22">
        <v>4.22</v>
      </c>
      <c r="K11" s="22">
        <v>4.7300000000000004</v>
      </c>
      <c r="L11" s="22">
        <v>0.02</v>
      </c>
    </row>
    <row r="12" spans="1:12" ht="15" customHeight="1" x14ac:dyDescent="0.3">
      <c r="A12" s="18">
        <v>6</v>
      </c>
      <c r="B12" s="21" t="s">
        <v>129</v>
      </c>
      <c r="C12" s="22">
        <v>1000</v>
      </c>
      <c r="D12" s="22">
        <v>2.2999999999999998</v>
      </c>
      <c r="E12" s="22">
        <v>0.18</v>
      </c>
      <c r="F12" s="22">
        <v>5</v>
      </c>
      <c r="G12" s="22">
        <v>10</v>
      </c>
      <c r="H12" s="23">
        <v>0.21</v>
      </c>
      <c r="I12" s="22">
        <v>0.23</v>
      </c>
      <c r="J12" s="22">
        <v>6.2</v>
      </c>
      <c r="K12" s="22">
        <v>6.75</v>
      </c>
      <c r="L12" s="22">
        <v>0.06</v>
      </c>
    </row>
    <row r="13" spans="1:12" ht="15.6" x14ac:dyDescent="0.3">
      <c r="A13" s="18">
        <v>7</v>
      </c>
      <c r="B13" s="21" t="s">
        <v>130</v>
      </c>
      <c r="C13" s="22">
        <v>650</v>
      </c>
      <c r="D13" s="22">
        <v>2.2999999999999998</v>
      </c>
      <c r="E13" s="22">
        <v>0.13</v>
      </c>
      <c r="F13" s="22">
        <v>6</v>
      </c>
      <c r="G13" s="22">
        <v>12</v>
      </c>
      <c r="H13" s="23">
        <v>0.15</v>
      </c>
      <c r="I13" s="22">
        <v>0.18</v>
      </c>
      <c r="J13" s="22">
        <v>4.26</v>
      </c>
      <c r="K13" s="22">
        <v>4.8899999999999997</v>
      </c>
      <c r="L13" s="22">
        <v>8.3000000000000004E-2</v>
      </c>
    </row>
    <row r="14" spans="1:12" ht="17.399999999999999" x14ac:dyDescent="0.3">
      <c r="B14" s="58" t="s">
        <v>206</v>
      </c>
      <c r="C14" s="10"/>
      <c r="D14" s="10"/>
      <c r="E14" s="10"/>
      <c r="F14" s="10"/>
      <c r="G14" s="10"/>
      <c r="H14" s="23">
        <v>1</v>
      </c>
      <c r="I14" s="22">
        <v>1</v>
      </c>
      <c r="J14" s="10"/>
      <c r="K14" s="10"/>
      <c r="L14" s="10"/>
    </row>
    <row r="15" spans="1:12" ht="15.6" x14ac:dyDescent="0.3">
      <c r="A15" s="18">
        <v>1</v>
      </c>
      <c r="B15" s="21" t="s">
        <v>194</v>
      </c>
      <c r="C15" s="22">
        <v>2500</v>
      </c>
      <c r="D15" s="22">
        <v>0.84</v>
      </c>
      <c r="E15" s="22">
        <v>1.69</v>
      </c>
      <c r="F15" s="22">
        <v>2</v>
      </c>
      <c r="G15" s="22">
        <v>3</v>
      </c>
      <c r="H15" s="23">
        <v>1.92</v>
      </c>
      <c r="I15" s="22">
        <v>2.04</v>
      </c>
      <c r="J15" s="22">
        <v>17.98</v>
      </c>
      <c r="K15" s="22">
        <v>18.95</v>
      </c>
      <c r="L15" s="22">
        <v>0.03</v>
      </c>
    </row>
    <row r="16" spans="1:12" ht="15.6" x14ac:dyDescent="0.3">
      <c r="A16" s="18">
        <v>2</v>
      </c>
      <c r="B16" s="21" t="s">
        <v>195</v>
      </c>
      <c r="C16" s="22">
        <v>2400</v>
      </c>
      <c r="D16" s="22">
        <v>0.84</v>
      </c>
      <c r="E16" s="22">
        <v>1.51</v>
      </c>
      <c r="F16" s="22">
        <v>2</v>
      </c>
      <c r="G16" s="22">
        <v>3</v>
      </c>
      <c r="H16" s="23">
        <v>1.74</v>
      </c>
      <c r="I16" s="22">
        <v>1.86</v>
      </c>
      <c r="J16" s="22">
        <v>16.77</v>
      </c>
      <c r="K16" s="22">
        <v>17.88</v>
      </c>
      <c r="L16" s="22">
        <v>0.03</v>
      </c>
    </row>
    <row r="17" spans="1:12" ht="17.399999999999999" x14ac:dyDescent="0.3">
      <c r="B17" s="58" t="s">
        <v>212</v>
      </c>
      <c r="C17" s="10"/>
      <c r="D17" s="10"/>
      <c r="E17" s="10"/>
      <c r="F17" s="10"/>
      <c r="G17" s="10"/>
      <c r="H17" s="23">
        <v>1</v>
      </c>
      <c r="I17" s="22">
        <v>1</v>
      </c>
      <c r="J17" s="10"/>
      <c r="K17" s="10"/>
      <c r="L17" s="10"/>
    </row>
    <row r="18" spans="1:12" ht="15.6" x14ac:dyDescent="0.3">
      <c r="A18" s="18">
        <v>1</v>
      </c>
      <c r="B18" s="21" t="s">
        <v>146</v>
      </c>
      <c r="C18" s="22">
        <v>7850</v>
      </c>
      <c r="D18" s="22">
        <v>0.48199999999999998</v>
      </c>
      <c r="E18" s="22">
        <v>58</v>
      </c>
      <c r="F18" s="22">
        <v>0</v>
      </c>
      <c r="G18" s="22">
        <v>0</v>
      </c>
      <c r="H18" s="23">
        <v>58</v>
      </c>
      <c r="I18" s="22">
        <v>58</v>
      </c>
      <c r="J18" s="22">
        <v>126.5</v>
      </c>
      <c r="K18" s="22">
        <v>126.5</v>
      </c>
      <c r="L18" s="22">
        <v>0</v>
      </c>
    </row>
    <row r="19" spans="1:12" ht="15.6" x14ac:dyDescent="0.3">
      <c r="A19" s="18">
        <v>2</v>
      </c>
      <c r="B19" s="21" t="s">
        <v>147</v>
      </c>
      <c r="C19" s="22">
        <v>7200</v>
      </c>
      <c r="D19" s="22">
        <v>0.48199999999999998</v>
      </c>
      <c r="E19" s="22">
        <v>50</v>
      </c>
      <c r="F19" s="22">
        <v>0</v>
      </c>
      <c r="G19" s="22">
        <v>0</v>
      </c>
      <c r="H19" s="23">
        <v>50</v>
      </c>
      <c r="I19" s="22">
        <v>50</v>
      </c>
      <c r="J19" s="22">
        <v>112.5</v>
      </c>
      <c r="K19" s="22">
        <v>112.5</v>
      </c>
      <c r="L19" s="22">
        <v>0</v>
      </c>
    </row>
    <row r="20" spans="1:12" ht="15.6" x14ac:dyDescent="0.3">
      <c r="A20" s="18">
        <v>3</v>
      </c>
      <c r="B20" s="21" t="s">
        <v>148</v>
      </c>
      <c r="C20" s="22">
        <v>2600</v>
      </c>
      <c r="D20" s="22">
        <v>0.84</v>
      </c>
      <c r="E20" s="22">
        <v>221</v>
      </c>
      <c r="F20" s="22">
        <v>0</v>
      </c>
      <c r="G20" s="22">
        <v>0</v>
      </c>
      <c r="H20" s="23">
        <v>221</v>
      </c>
      <c r="I20" s="22">
        <v>221</v>
      </c>
      <c r="J20" s="22">
        <v>187.6</v>
      </c>
      <c r="K20" s="22">
        <v>187.6</v>
      </c>
      <c r="L20" s="22">
        <v>0</v>
      </c>
    </row>
    <row r="21" spans="1:12" ht="15.6" x14ac:dyDescent="0.3">
      <c r="A21" s="18">
        <v>4</v>
      </c>
      <c r="B21" s="21" t="s">
        <v>149</v>
      </c>
      <c r="C21" s="22">
        <v>8500</v>
      </c>
      <c r="D21" s="22">
        <v>0.42</v>
      </c>
      <c r="E21" s="22">
        <v>407</v>
      </c>
      <c r="F21" s="22">
        <v>0</v>
      </c>
      <c r="G21" s="22">
        <v>0</v>
      </c>
      <c r="H21" s="23">
        <v>407</v>
      </c>
      <c r="I21" s="22">
        <v>407</v>
      </c>
      <c r="J21" s="22">
        <v>326</v>
      </c>
      <c r="K21" s="22">
        <v>326</v>
      </c>
      <c r="L21" s="22">
        <v>0</v>
      </c>
    </row>
    <row r="22" spans="1:12" ht="15.6" x14ac:dyDescent="0.3">
      <c r="A22" s="18">
        <v>5</v>
      </c>
      <c r="B22" s="21" t="s">
        <v>150</v>
      </c>
      <c r="C22" s="22">
        <v>2500</v>
      </c>
      <c r="D22" s="22">
        <v>0.84</v>
      </c>
      <c r="E22" s="22">
        <v>0.76</v>
      </c>
      <c r="F22" s="22">
        <v>0</v>
      </c>
      <c r="G22" s="22">
        <v>0</v>
      </c>
      <c r="H22" s="23">
        <v>0.76</v>
      </c>
      <c r="I22" s="22">
        <v>0.76</v>
      </c>
      <c r="J22" s="22">
        <v>10.79</v>
      </c>
      <c r="K22" s="22">
        <v>10.79</v>
      </c>
      <c r="L22" s="22">
        <v>0</v>
      </c>
    </row>
    <row r="23" spans="1:12" ht="15.6" x14ac:dyDescent="0.3">
      <c r="A23" s="18">
        <v>6</v>
      </c>
      <c r="B23" s="49" t="s">
        <v>197</v>
      </c>
      <c r="C23" s="10"/>
      <c r="D23" s="10"/>
      <c r="E23" s="10"/>
      <c r="F23" s="10"/>
      <c r="G23" s="10"/>
      <c r="H23" s="23">
        <v>1</v>
      </c>
      <c r="I23" s="22">
        <v>1</v>
      </c>
      <c r="J23" s="22"/>
      <c r="K23" s="22"/>
      <c r="L23" s="22">
        <v>1</v>
      </c>
    </row>
    <row r="24" spans="1:12" ht="15.6" x14ac:dyDescent="0.3">
      <c r="B24" s="55">
        <v>10</v>
      </c>
      <c r="H24" s="26"/>
      <c r="I24" s="24"/>
      <c r="J24" s="24"/>
      <c r="K24" s="24"/>
      <c r="L24" s="24"/>
    </row>
    <row r="25" spans="1:12" x14ac:dyDescent="0.3">
      <c r="B25" s="55">
        <v>18</v>
      </c>
    </row>
    <row r="27" spans="1:12" x14ac:dyDescent="0.3">
      <c r="B27" s="59" t="str">
        <f>INDEX(B6:B23,$B$24)</f>
        <v xml:space="preserve">Залізобетон </v>
      </c>
      <c r="C27" s="60">
        <f t="shared" ref="C27:L27" si="0">INDEX(C6:C23,$B$24)</f>
        <v>2500</v>
      </c>
      <c r="D27" s="59">
        <f t="shared" si="0"/>
        <v>0.84</v>
      </c>
      <c r="E27" s="59">
        <f t="shared" si="0"/>
        <v>1.69</v>
      </c>
      <c r="F27" s="59">
        <f t="shared" si="0"/>
        <v>2</v>
      </c>
      <c r="G27" s="59">
        <f t="shared" si="0"/>
        <v>3</v>
      </c>
      <c r="H27" s="59">
        <f t="shared" si="0"/>
        <v>1.92</v>
      </c>
      <c r="I27" s="60">
        <f t="shared" si="0"/>
        <v>2.04</v>
      </c>
      <c r="J27" s="59">
        <f t="shared" si="0"/>
        <v>17.98</v>
      </c>
      <c r="K27" s="59">
        <f t="shared" si="0"/>
        <v>18.95</v>
      </c>
      <c r="L27" s="59">
        <f t="shared" si="0"/>
        <v>0.03</v>
      </c>
    </row>
    <row r="28" spans="1:12" x14ac:dyDescent="0.3">
      <c r="B28" s="59" t="str">
        <f>INDEX(B6:B23,$B$25)</f>
        <v>Немає</v>
      </c>
      <c r="C28" s="59">
        <f t="shared" ref="C28:L28" si="1">INDEX(C6:C23,$B$25)</f>
        <v>0</v>
      </c>
      <c r="D28" s="59">
        <f t="shared" si="1"/>
        <v>0</v>
      </c>
      <c r="E28" s="59">
        <f t="shared" si="1"/>
        <v>0</v>
      </c>
      <c r="F28" s="59">
        <f t="shared" si="1"/>
        <v>0</v>
      </c>
      <c r="G28" s="59">
        <f t="shared" si="1"/>
        <v>0</v>
      </c>
      <c r="H28" s="59">
        <f t="shared" si="1"/>
        <v>1</v>
      </c>
      <c r="I28" s="59">
        <f t="shared" si="1"/>
        <v>1</v>
      </c>
      <c r="J28" s="59">
        <f t="shared" si="1"/>
        <v>0</v>
      </c>
      <c r="K28" s="59">
        <f t="shared" si="1"/>
        <v>0</v>
      </c>
      <c r="L28" s="59">
        <f t="shared" si="1"/>
        <v>1</v>
      </c>
    </row>
  </sheetData>
  <mergeCells count="6">
    <mergeCell ref="B2:B3"/>
    <mergeCell ref="C2:E2"/>
    <mergeCell ref="F2:G3"/>
    <mergeCell ref="H2:L2"/>
    <mergeCell ref="H3:I3"/>
    <mergeCell ref="J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110"/>
  <sheetViews>
    <sheetView topLeftCell="A21" zoomScale="85" zoomScaleNormal="85" workbookViewId="0">
      <selection activeCell="B44" sqref="B44"/>
    </sheetView>
  </sheetViews>
  <sheetFormatPr defaultColWidth="9.109375" defaultRowHeight="14.4" x14ac:dyDescent="0.3"/>
  <cols>
    <col min="1" max="1" width="9.109375" style="9"/>
    <col min="2" max="2" width="131.44140625" style="25" customWidth="1"/>
    <col min="3" max="16384" width="9.109375" style="9"/>
  </cols>
  <sheetData>
    <row r="2" spans="1:12" ht="15" customHeight="1" x14ac:dyDescent="0.3">
      <c r="B2" s="86" t="s">
        <v>39</v>
      </c>
      <c r="C2" s="88" t="s">
        <v>40</v>
      </c>
      <c r="D2" s="88"/>
      <c r="E2" s="88"/>
      <c r="F2" s="88" t="s">
        <v>41</v>
      </c>
      <c r="G2" s="88"/>
      <c r="H2" s="88" t="s">
        <v>42</v>
      </c>
      <c r="I2" s="88"/>
      <c r="J2" s="88"/>
      <c r="K2" s="88"/>
      <c r="L2" s="88"/>
    </row>
    <row r="3" spans="1:12" ht="25.5" customHeight="1" x14ac:dyDescent="0.3">
      <c r="B3" s="87"/>
      <c r="C3" s="11" t="s">
        <v>43</v>
      </c>
      <c r="D3" s="11" t="s">
        <v>44</v>
      </c>
      <c r="E3" s="11" t="s">
        <v>45</v>
      </c>
      <c r="F3" s="88"/>
      <c r="G3" s="88"/>
      <c r="H3" s="88" t="s">
        <v>46</v>
      </c>
      <c r="I3" s="88"/>
      <c r="J3" s="88" t="s">
        <v>47</v>
      </c>
      <c r="K3" s="88"/>
      <c r="L3" s="11" t="s">
        <v>48</v>
      </c>
    </row>
    <row r="4" spans="1:12" ht="15.6" x14ac:dyDescent="0.25">
      <c r="B4" s="12"/>
      <c r="C4" s="13"/>
      <c r="D4" s="13"/>
      <c r="E4" s="13"/>
      <c r="F4" s="14" t="s">
        <v>49</v>
      </c>
      <c r="G4" s="14" t="s">
        <v>50</v>
      </c>
      <c r="H4" s="15" t="s">
        <v>49</v>
      </c>
      <c r="I4" s="14" t="s">
        <v>50</v>
      </c>
      <c r="J4" s="14" t="s">
        <v>49</v>
      </c>
      <c r="K4" s="14" t="s">
        <v>50</v>
      </c>
      <c r="L4" s="14" t="s">
        <v>51</v>
      </c>
    </row>
    <row r="5" spans="1:12" x14ac:dyDescent="0.3">
      <c r="B5" s="16">
        <v>1</v>
      </c>
      <c r="C5" s="16">
        <v>2</v>
      </c>
      <c r="D5" s="16">
        <v>4</v>
      </c>
      <c r="E5" s="16">
        <v>5</v>
      </c>
      <c r="F5" s="16">
        <v>6</v>
      </c>
      <c r="G5" s="16">
        <v>7</v>
      </c>
      <c r="H5" s="17">
        <v>8</v>
      </c>
      <c r="I5" s="16">
        <v>9</v>
      </c>
      <c r="J5" s="16">
        <v>10</v>
      </c>
      <c r="K5" s="16">
        <v>11</v>
      </c>
      <c r="L5" s="16">
        <v>12</v>
      </c>
    </row>
    <row r="6" spans="1:12" ht="17.399999999999999" x14ac:dyDescent="0.3">
      <c r="B6" s="58" t="s">
        <v>198</v>
      </c>
      <c r="C6" s="10"/>
      <c r="D6" s="10"/>
      <c r="E6" s="10"/>
      <c r="F6" s="10"/>
      <c r="G6" s="10"/>
      <c r="H6" s="23">
        <v>1</v>
      </c>
      <c r="I6" s="22">
        <v>1</v>
      </c>
      <c r="J6" s="10"/>
      <c r="K6" s="10"/>
      <c r="L6" s="10"/>
    </row>
    <row r="7" spans="1:12" ht="15.6" x14ac:dyDescent="0.3">
      <c r="A7" s="18">
        <v>31</v>
      </c>
      <c r="B7" s="21" t="s">
        <v>501</v>
      </c>
      <c r="C7" s="22">
        <v>300</v>
      </c>
      <c r="D7" s="22">
        <v>0.84</v>
      </c>
      <c r="E7" s="22">
        <v>7.5999999999999998E-2</v>
      </c>
      <c r="F7" s="22">
        <v>4</v>
      </c>
      <c r="G7" s="22">
        <v>8</v>
      </c>
      <c r="H7" s="23">
        <v>0.1</v>
      </c>
      <c r="I7" s="22">
        <v>0.11</v>
      </c>
      <c r="J7" s="22">
        <v>1.53</v>
      </c>
      <c r="K7" s="22">
        <v>1.74</v>
      </c>
      <c r="L7" s="22">
        <v>9.5000000000000001E-2</v>
      </c>
    </row>
    <row r="8" spans="1:12" ht="15.6" x14ac:dyDescent="0.3">
      <c r="A8" s="18">
        <v>32</v>
      </c>
      <c r="B8" s="21" t="s">
        <v>107</v>
      </c>
      <c r="C8" s="22">
        <v>400</v>
      </c>
      <c r="D8" s="22">
        <v>2.2999999999999998</v>
      </c>
      <c r="E8" s="22">
        <v>0.08</v>
      </c>
      <c r="F8" s="22">
        <v>10</v>
      </c>
      <c r="G8" s="22">
        <v>12</v>
      </c>
      <c r="H8" s="23">
        <v>0.11</v>
      </c>
      <c r="I8" s="22">
        <v>0.13</v>
      </c>
      <c r="J8" s="22">
        <v>2.95</v>
      </c>
      <c r="K8" s="22">
        <v>3.26</v>
      </c>
      <c r="L8" s="22">
        <v>0.19</v>
      </c>
    </row>
    <row r="9" spans="1:12" ht="15.6" x14ac:dyDescent="0.3">
      <c r="A9" s="18">
        <v>33</v>
      </c>
      <c r="B9" s="21" t="s">
        <v>108</v>
      </c>
      <c r="C9" s="22">
        <v>600</v>
      </c>
      <c r="D9" s="22">
        <v>2.2999999999999998</v>
      </c>
      <c r="E9" s="22">
        <v>0.11</v>
      </c>
      <c r="F9" s="22">
        <v>10</v>
      </c>
      <c r="G9" s="22">
        <v>12</v>
      </c>
      <c r="H9" s="23">
        <v>0.13</v>
      </c>
      <c r="I9" s="22">
        <v>0.16</v>
      </c>
      <c r="J9" s="22">
        <v>3.93</v>
      </c>
      <c r="K9" s="22">
        <v>4.43</v>
      </c>
      <c r="L9" s="22">
        <v>0.13</v>
      </c>
    </row>
    <row r="10" spans="1:12" ht="15.6" x14ac:dyDescent="0.3">
      <c r="A10" s="18">
        <v>34</v>
      </c>
      <c r="B10" s="21" t="s">
        <v>109</v>
      </c>
      <c r="C10" s="22">
        <v>800</v>
      </c>
      <c r="D10" s="22">
        <v>2.2999999999999998</v>
      </c>
      <c r="E10" s="22">
        <v>0.13</v>
      </c>
      <c r="F10" s="22">
        <v>10</v>
      </c>
      <c r="G10" s="22">
        <v>12</v>
      </c>
      <c r="H10" s="23">
        <v>0.19</v>
      </c>
      <c r="I10" s="22">
        <v>0.23</v>
      </c>
      <c r="J10" s="22">
        <v>5.49</v>
      </c>
      <c r="K10" s="22">
        <v>6.13</v>
      </c>
      <c r="L10" s="22">
        <v>0.12</v>
      </c>
    </row>
    <row r="11" spans="1:12" ht="15.6" x14ac:dyDescent="0.3">
      <c r="A11" s="18">
        <v>35</v>
      </c>
      <c r="B11" s="21" t="s">
        <v>110</v>
      </c>
      <c r="C11" s="22">
        <v>1000</v>
      </c>
      <c r="D11" s="22">
        <v>2.2999999999999998</v>
      </c>
      <c r="E11" s="22">
        <v>0.15</v>
      </c>
      <c r="F11" s="22">
        <v>10</v>
      </c>
      <c r="G11" s="22">
        <v>12</v>
      </c>
      <c r="H11" s="23">
        <v>0.23</v>
      </c>
      <c r="I11" s="22">
        <v>0.28999999999999998</v>
      </c>
      <c r="J11" s="22">
        <v>6.75</v>
      </c>
      <c r="K11" s="22">
        <v>7.7</v>
      </c>
      <c r="L11" s="22">
        <v>0.12</v>
      </c>
    </row>
    <row r="12" spans="1:12" ht="17.399999999999999" x14ac:dyDescent="0.3">
      <c r="B12" s="58" t="s">
        <v>199</v>
      </c>
      <c r="C12" s="10"/>
      <c r="D12" s="10"/>
      <c r="E12" s="10"/>
      <c r="F12" s="10"/>
      <c r="G12" s="10"/>
      <c r="H12" s="23">
        <v>1</v>
      </c>
      <c r="I12" s="22">
        <v>1</v>
      </c>
      <c r="J12" s="10"/>
      <c r="K12" s="10"/>
      <c r="L12" s="10"/>
    </row>
    <row r="13" spans="1:12" ht="15.6" x14ac:dyDescent="0.3">
      <c r="A13" s="18">
        <v>1</v>
      </c>
      <c r="B13" s="21" t="s">
        <v>515</v>
      </c>
      <c r="C13" s="22">
        <v>500</v>
      </c>
      <c r="D13" s="22">
        <v>0.84</v>
      </c>
      <c r="E13" s="22">
        <v>6.5000000000000002E-2</v>
      </c>
      <c r="F13" s="22">
        <v>4</v>
      </c>
      <c r="G13" s="22">
        <v>6</v>
      </c>
      <c r="H13" s="23">
        <v>0.155</v>
      </c>
      <c r="I13" s="22">
        <v>0.155</v>
      </c>
      <c r="J13" s="22">
        <v>1.01</v>
      </c>
      <c r="K13" s="22">
        <v>1.08</v>
      </c>
      <c r="L13" s="22">
        <v>0.28000000000000003</v>
      </c>
    </row>
    <row r="14" spans="1:12" ht="15.6" x14ac:dyDescent="0.3">
      <c r="A14" s="18">
        <v>2</v>
      </c>
      <c r="B14" s="21" t="s">
        <v>151</v>
      </c>
      <c r="C14" s="22">
        <v>300</v>
      </c>
      <c r="D14" s="22">
        <v>0.84</v>
      </c>
      <c r="E14" s="22">
        <v>0.08</v>
      </c>
      <c r="F14" s="22">
        <v>4</v>
      </c>
      <c r="G14" s="22">
        <v>6</v>
      </c>
      <c r="H14" s="23">
        <v>0.09</v>
      </c>
      <c r="I14" s="22">
        <v>0.1</v>
      </c>
      <c r="J14" s="22">
        <v>1.41</v>
      </c>
      <c r="K14" s="22">
        <v>1.48</v>
      </c>
      <c r="L14" s="22">
        <v>0.26</v>
      </c>
    </row>
    <row r="15" spans="1:12" ht="15.6" x14ac:dyDescent="0.3">
      <c r="A15" s="18">
        <v>3</v>
      </c>
      <c r="B15" s="21" t="s">
        <v>152</v>
      </c>
      <c r="C15" s="22">
        <v>400</v>
      </c>
      <c r="D15" s="22">
        <v>0.84</v>
      </c>
      <c r="E15" s="22">
        <v>0.1</v>
      </c>
      <c r="F15" s="22">
        <v>4</v>
      </c>
      <c r="G15" s="22">
        <v>6</v>
      </c>
      <c r="H15" s="23">
        <v>0.11</v>
      </c>
      <c r="I15" s="22">
        <v>0.13</v>
      </c>
      <c r="J15" s="22">
        <v>1.84</v>
      </c>
      <c r="K15" s="22">
        <v>2.1</v>
      </c>
      <c r="L15" s="22">
        <v>0.23</v>
      </c>
    </row>
    <row r="16" spans="1:12" ht="15.6" x14ac:dyDescent="0.3">
      <c r="A16" s="18">
        <v>4</v>
      </c>
      <c r="B16" s="21" t="s">
        <v>153</v>
      </c>
      <c r="C16" s="22">
        <v>500</v>
      </c>
      <c r="D16" s="22">
        <v>0.84</v>
      </c>
      <c r="E16" s="22">
        <v>0.12</v>
      </c>
      <c r="F16" s="22">
        <v>4</v>
      </c>
      <c r="G16" s="22">
        <v>6</v>
      </c>
      <c r="H16" s="23">
        <v>0.15</v>
      </c>
      <c r="I16" s="22">
        <v>0.16</v>
      </c>
      <c r="J16" s="22">
        <v>2.38</v>
      </c>
      <c r="K16" s="22">
        <v>2.48</v>
      </c>
      <c r="L16" s="22">
        <v>0.2</v>
      </c>
    </row>
    <row r="17" spans="1:12" ht="15" customHeight="1" x14ac:dyDescent="0.3">
      <c r="A17" s="18">
        <v>5</v>
      </c>
      <c r="B17" s="21" t="s">
        <v>154</v>
      </c>
      <c r="C17" s="22">
        <v>400</v>
      </c>
      <c r="D17" s="22">
        <v>0.84</v>
      </c>
      <c r="E17" s="22">
        <v>0.09</v>
      </c>
      <c r="F17" s="22">
        <v>8</v>
      </c>
      <c r="G17" s="22">
        <v>13</v>
      </c>
      <c r="H17" s="23">
        <v>0.11</v>
      </c>
      <c r="I17" s="22">
        <v>0.13</v>
      </c>
      <c r="J17" s="22">
        <v>1.94</v>
      </c>
      <c r="K17" s="22">
        <v>2.29</v>
      </c>
      <c r="L17" s="22">
        <v>0.19</v>
      </c>
    </row>
    <row r="18" spans="1:12" ht="15.6" x14ac:dyDescent="0.3">
      <c r="A18" s="18">
        <v>6</v>
      </c>
      <c r="B18" s="21" t="s">
        <v>155</v>
      </c>
      <c r="C18" s="22">
        <v>600</v>
      </c>
      <c r="D18" s="22">
        <v>0.84</v>
      </c>
      <c r="E18" s="22">
        <v>0.14000000000000001</v>
      </c>
      <c r="F18" s="22">
        <v>8</v>
      </c>
      <c r="G18" s="22">
        <v>13</v>
      </c>
      <c r="H18" s="23">
        <v>0.16</v>
      </c>
      <c r="I18" s="22">
        <v>0.17</v>
      </c>
      <c r="J18" s="22">
        <v>2.87</v>
      </c>
      <c r="K18" s="22">
        <v>3.21</v>
      </c>
      <c r="L18" s="22">
        <v>0.15</v>
      </c>
    </row>
    <row r="19" spans="1:12" ht="15.6" x14ac:dyDescent="0.3">
      <c r="A19" s="18">
        <v>7</v>
      </c>
      <c r="B19" s="21" t="s">
        <v>156</v>
      </c>
      <c r="C19" s="22">
        <v>800</v>
      </c>
      <c r="D19" s="22">
        <v>0.84</v>
      </c>
      <c r="E19" s="22">
        <v>0.21</v>
      </c>
      <c r="F19" s="22">
        <v>8</v>
      </c>
      <c r="G19" s="22">
        <v>13</v>
      </c>
      <c r="H19" s="23">
        <v>0.23</v>
      </c>
      <c r="I19" s="22">
        <v>0.26</v>
      </c>
      <c r="J19" s="22">
        <v>3.97</v>
      </c>
      <c r="K19" s="22">
        <v>4.58</v>
      </c>
      <c r="L19" s="22">
        <v>0.12</v>
      </c>
    </row>
    <row r="20" spans="1:12" ht="17.399999999999999" x14ac:dyDescent="0.3">
      <c r="B20" s="58" t="s">
        <v>224</v>
      </c>
      <c r="C20" s="10"/>
      <c r="D20" s="10"/>
      <c r="E20" s="10"/>
      <c r="F20" s="10"/>
      <c r="G20" s="10"/>
      <c r="H20" s="23">
        <v>1</v>
      </c>
      <c r="I20" s="22">
        <v>1</v>
      </c>
      <c r="J20" s="10"/>
      <c r="K20" s="10"/>
      <c r="L20" s="10"/>
    </row>
    <row r="21" spans="1:12" ht="15.6" x14ac:dyDescent="0.3">
      <c r="A21" s="18">
        <v>1</v>
      </c>
      <c r="B21" s="21" t="s">
        <v>465</v>
      </c>
      <c r="C21" s="22">
        <v>300</v>
      </c>
      <c r="D21" s="22">
        <v>0.84</v>
      </c>
      <c r="E21" s="22">
        <v>0.112</v>
      </c>
      <c r="F21" s="22">
        <v>1</v>
      </c>
      <c r="G21" s="22">
        <v>2</v>
      </c>
      <c r="H21" s="23">
        <v>0.115</v>
      </c>
      <c r="I21" s="22">
        <v>0.12</v>
      </c>
      <c r="J21" s="22">
        <v>1.42</v>
      </c>
      <c r="K21" s="22">
        <v>1.51</v>
      </c>
      <c r="L21" s="22">
        <v>0.26</v>
      </c>
    </row>
    <row r="22" spans="1:12" ht="15.6" x14ac:dyDescent="0.3">
      <c r="A22" s="18">
        <v>2</v>
      </c>
      <c r="B22" s="21" t="s">
        <v>466</v>
      </c>
      <c r="C22" s="22">
        <v>300</v>
      </c>
      <c r="D22" s="22">
        <v>0.84</v>
      </c>
      <c r="E22" s="22">
        <v>0.112</v>
      </c>
      <c r="F22" s="22">
        <v>1</v>
      </c>
      <c r="G22" s="22">
        <v>3</v>
      </c>
      <c r="H22" s="23">
        <v>0.12</v>
      </c>
      <c r="I22" s="22">
        <v>0.13</v>
      </c>
      <c r="J22" s="22">
        <v>1.56</v>
      </c>
      <c r="K22" s="22">
        <v>1.65</v>
      </c>
      <c r="L22" s="22">
        <v>0.22</v>
      </c>
    </row>
    <row r="23" spans="1:12" ht="15.6" x14ac:dyDescent="0.3">
      <c r="A23" s="18">
        <v>3</v>
      </c>
      <c r="B23" s="21" t="s">
        <v>467</v>
      </c>
      <c r="C23" s="22">
        <v>350</v>
      </c>
      <c r="D23" s="22">
        <v>0.84</v>
      </c>
      <c r="E23" s="22">
        <v>0.16200000000000001</v>
      </c>
      <c r="F23" s="22">
        <v>1</v>
      </c>
      <c r="G23" s="22">
        <v>3</v>
      </c>
      <c r="H23" s="23">
        <v>0.17</v>
      </c>
      <c r="I23" s="22">
        <v>0.19</v>
      </c>
      <c r="J23" s="22">
        <v>2</v>
      </c>
      <c r="K23" s="22">
        <v>2.16</v>
      </c>
      <c r="L23" s="22">
        <v>0.21</v>
      </c>
    </row>
    <row r="24" spans="1:12" ht="15.6" x14ac:dyDescent="0.3">
      <c r="A24" s="18">
        <v>4</v>
      </c>
      <c r="B24" s="21" t="s">
        <v>468</v>
      </c>
      <c r="C24" s="22">
        <v>250</v>
      </c>
      <c r="D24" s="22">
        <v>0.84</v>
      </c>
      <c r="E24" s="22">
        <v>0.112</v>
      </c>
      <c r="F24" s="22">
        <v>2</v>
      </c>
      <c r="G24" s="22">
        <v>3</v>
      </c>
      <c r="H24" s="23">
        <v>0.13</v>
      </c>
      <c r="I24" s="22">
        <v>0.15</v>
      </c>
      <c r="J24" s="22">
        <v>1.48</v>
      </c>
      <c r="K24" s="22">
        <v>1.62</v>
      </c>
      <c r="L24" s="22">
        <v>0.26</v>
      </c>
    </row>
    <row r="25" spans="1:12" ht="15.6" x14ac:dyDescent="0.3">
      <c r="A25" s="18">
        <v>5</v>
      </c>
      <c r="B25" s="21" t="s">
        <v>469</v>
      </c>
      <c r="C25" s="22">
        <v>200</v>
      </c>
      <c r="D25" s="22">
        <v>0.84</v>
      </c>
      <c r="E25" s="22">
        <v>9.9000000000000005E-2</v>
      </c>
      <c r="F25" s="22">
        <v>2</v>
      </c>
      <c r="G25" s="22">
        <v>3</v>
      </c>
      <c r="H25" s="23">
        <v>0.11</v>
      </c>
      <c r="I25" s="22">
        <v>0.12</v>
      </c>
      <c r="J25" s="22">
        <v>1.22</v>
      </c>
      <c r="K25" s="22">
        <v>1.3</v>
      </c>
      <c r="L25" s="22">
        <v>0.26</v>
      </c>
    </row>
    <row r="26" spans="1:12" ht="15.6" x14ac:dyDescent="0.3">
      <c r="A26" s="18">
        <v>6</v>
      </c>
      <c r="B26" s="21" t="s">
        <v>470</v>
      </c>
      <c r="C26" s="22">
        <v>300</v>
      </c>
      <c r="D26" s="22">
        <v>0.84</v>
      </c>
      <c r="E26" s="22">
        <v>0.14000000000000001</v>
      </c>
      <c r="F26" s="22">
        <v>2</v>
      </c>
      <c r="G26" s="22">
        <v>3</v>
      </c>
      <c r="H26" s="23">
        <v>0.12</v>
      </c>
      <c r="I26" s="22">
        <v>0.13</v>
      </c>
      <c r="J26" s="22">
        <v>1.56</v>
      </c>
      <c r="K26" s="22">
        <v>1.66</v>
      </c>
      <c r="L26" s="22">
        <v>0.25</v>
      </c>
    </row>
    <row r="27" spans="1:12" ht="15.6" x14ac:dyDescent="0.3">
      <c r="A27" s="18">
        <v>7</v>
      </c>
      <c r="B27" s="21" t="s">
        <v>471</v>
      </c>
      <c r="C27" s="22">
        <v>400</v>
      </c>
      <c r="D27" s="22">
        <v>0.84</v>
      </c>
      <c r="E27" s="22">
        <v>0.12</v>
      </c>
      <c r="F27" s="22">
        <v>2</v>
      </c>
      <c r="G27" s="22">
        <v>3</v>
      </c>
      <c r="H27" s="23">
        <v>0.13</v>
      </c>
      <c r="I27" s="22">
        <v>0.14000000000000001</v>
      </c>
      <c r="J27" s="22">
        <v>1.87</v>
      </c>
      <c r="K27" s="22">
        <v>1.99</v>
      </c>
      <c r="L27" s="22">
        <v>0.24</v>
      </c>
    </row>
    <row r="28" spans="1:12" ht="15.6" x14ac:dyDescent="0.3">
      <c r="A28" s="18">
        <v>8</v>
      </c>
      <c r="B28" s="21" t="s">
        <v>472</v>
      </c>
      <c r="C28" s="22">
        <v>600</v>
      </c>
      <c r="D28" s="22">
        <v>0.84</v>
      </c>
      <c r="E28" s="22">
        <v>0.14000000000000001</v>
      </c>
      <c r="F28" s="22">
        <v>2</v>
      </c>
      <c r="G28" s="22">
        <v>3</v>
      </c>
      <c r="H28" s="23">
        <v>0.17</v>
      </c>
      <c r="I28" s="22">
        <v>0.2</v>
      </c>
      <c r="J28" s="22">
        <v>2.62</v>
      </c>
      <c r="K28" s="22">
        <v>2.91</v>
      </c>
      <c r="L28" s="22">
        <v>0.23</v>
      </c>
    </row>
    <row r="29" spans="1:12" ht="15.6" x14ac:dyDescent="0.3">
      <c r="A29" s="18">
        <v>9</v>
      </c>
      <c r="B29" s="21" t="s">
        <v>473</v>
      </c>
      <c r="C29" s="22">
        <v>800</v>
      </c>
      <c r="D29" s="22">
        <v>0.84</v>
      </c>
      <c r="E29" s="22">
        <v>0.18</v>
      </c>
      <c r="F29" s="22">
        <v>2</v>
      </c>
      <c r="G29" s="22">
        <v>3</v>
      </c>
      <c r="H29" s="23">
        <v>0.21</v>
      </c>
      <c r="I29" s="22">
        <v>0.23</v>
      </c>
      <c r="J29" s="22">
        <v>3.36</v>
      </c>
      <c r="K29" s="22">
        <v>3.6</v>
      </c>
      <c r="L29" s="22">
        <v>0.21</v>
      </c>
    </row>
    <row r="30" spans="1:12" ht="15.6" x14ac:dyDescent="0.3">
      <c r="A30" s="18">
        <v>10</v>
      </c>
      <c r="B30" s="21" t="s">
        <v>474</v>
      </c>
      <c r="C30" s="22">
        <v>400</v>
      </c>
      <c r="D30" s="22">
        <v>0.84</v>
      </c>
      <c r="E30" s="22">
        <v>0.17</v>
      </c>
      <c r="F30" s="22">
        <v>2</v>
      </c>
      <c r="G30" s="22">
        <v>3</v>
      </c>
      <c r="H30" s="23">
        <v>0.21</v>
      </c>
      <c r="I30" s="22">
        <v>0.23</v>
      </c>
      <c r="J30" s="22">
        <v>2.35</v>
      </c>
      <c r="K30" s="22">
        <v>2.52</v>
      </c>
      <c r="L30" s="22">
        <v>0.24</v>
      </c>
    </row>
    <row r="31" spans="1:12" ht="15.6" x14ac:dyDescent="0.3">
      <c r="A31" s="18">
        <v>11</v>
      </c>
      <c r="B31" s="21" t="s">
        <v>475</v>
      </c>
      <c r="C31" s="22">
        <v>100</v>
      </c>
      <c r="D31" s="22">
        <v>0.84</v>
      </c>
      <c r="E31" s="22">
        <v>6.4000000000000001E-2</v>
      </c>
      <c r="F31" s="22">
        <v>1</v>
      </c>
      <c r="G31" s="22">
        <v>3</v>
      </c>
      <c r="H31" s="23">
        <v>7.5999999999999998E-2</v>
      </c>
      <c r="I31" s="22">
        <v>0.08</v>
      </c>
      <c r="J31" s="22">
        <v>0.7</v>
      </c>
      <c r="K31" s="22">
        <v>0.75</v>
      </c>
      <c r="L31" s="22">
        <v>0.3</v>
      </c>
    </row>
    <row r="32" spans="1:12" ht="15.6" x14ac:dyDescent="0.3">
      <c r="A32" s="18">
        <v>12</v>
      </c>
      <c r="B32" s="21" t="s">
        <v>476</v>
      </c>
      <c r="C32" s="22">
        <v>200</v>
      </c>
      <c r="D32" s="22">
        <v>0.84</v>
      </c>
      <c r="E32" s="22">
        <v>7.5999999999999998E-2</v>
      </c>
      <c r="F32" s="22">
        <v>1</v>
      </c>
      <c r="G32" s="22">
        <v>3</v>
      </c>
      <c r="H32" s="23">
        <v>0.09</v>
      </c>
      <c r="I32" s="22">
        <v>0.11</v>
      </c>
      <c r="J32" s="22">
        <v>1.08</v>
      </c>
      <c r="K32" s="22">
        <v>1.24</v>
      </c>
      <c r="L32" s="22">
        <v>0.23</v>
      </c>
    </row>
    <row r="33" spans="1:12" ht="15.6" x14ac:dyDescent="0.3">
      <c r="A33" s="18">
        <v>13</v>
      </c>
      <c r="B33" s="21" t="s">
        <v>477</v>
      </c>
      <c r="C33" s="22">
        <v>1600</v>
      </c>
      <c r="D33" s="22">
        <v>0.84</v>
      </c>
      <c r="E33" s="22">
        <v>0.35</v>
      </c>
      <c r="F33" s="22">
        <v>1</v>
      </c>
      <c r="G33" s="22">
        <v>2</v>
      </c>
      <c r="H33" s="23">
        <v>0.47</v>
      </c>
      <c r="I33" s="22">
        <v>0.57999999999999996</v>
      </c>
      <c r="J33" s="22">
        <v>6.95</v>
      </c>
      <c r="K33" s="22">
        <v>7.91</v>
      </c>
      <c r="L33" s="22">
        <v>0.17</v>
      </c>
    </row>
    <row r="34" spans="1:12" ht="17.399999999999999" x14ac:dyDescent="0.3">
      <c r="B34" s="58" t="s">
        <v>208</v>
      </c>
      <c r="C34" s="10"/>
      <c r="D34" s="10"/>
      <c r="E34" s="10"/>
      <c r="F34" s="10"/>
      <c r="G34" s="10"/>
      <c r="H34" s="23">
        <v>1</v>
      </c>
      <c r="I34" s="22">
        <v>1</v>
      </c>
      <c r="J34" s="10"/>
      <c r="K34" s="10"/>
      <c r="L34" s="10"/>
    </row>
    <row r="35" spans="1:12" ht="15.6" x14ac:dyDescent="0.3">
      <c r="A35" s="18">
        <v>1</v>
      </c>
      <c r="B35" s="21" t="s">
        <v>111</v>
      </c>
      <c r="C35" s="22">
        <v>600</v>
      </c>
      <c r="D35" s="22">
        <v>0.84</v>
      </c>
      <c r="E35" s="22">
        <v>0.14000000000000001</v>
      </c>
      <c r="F35" s="22">
        <v>10</v>
      </c>
      <c r="G35" s="22">
        <v>15</v>
      </c>
      <c r="H35" s="23">
        <v>0.19</v>
      </c>
      <c r="I35" s="22">
        <v>0.23</v>
      </c>
      <c r="J35" s="22">
        <v>3.24</v>
      </c>
      <c r="K35" s="22">
        <v>3.84</v>
      </c>
      <c r="L35" s="22">
        <v>0.17</v>
      </c>
    </row>
    <row r="36" spans="1:12" ht="15.6" x14ac:dyDescent="0.3">
      <c r="A36" s="18">
        <v>2</v>
      </c>
      <c r="B36" s="21" t="s">
        <v>112</v>
      </c>
      <c r="C36" s="22">
        <v>800</v>
      </c>
      <c r="D36" s="22">
        <v>0.84</v>
      </c>
      <c r="E36" s="22">
        <v>0.16</v>
      </c>
      <c r="F36" s="22">
        <v>7</v>
      </c>
      <c r="G36" s="22">
        <v>12</v>
      </c>
      <c r="H36" s="23">
        <v>0.21</v>
      </c>
      <c r="I36" s="22">
        <v>0.26</v>
      </c>
      <c r="J36" s="22">
        <v>3.73</v>
      </c>
      <c r="K36" s="22">
        <v>4.51</v>
      </c>
      <c r="L36" s="22">
        <v>0.16</v>
      </c>
    </row>
    <row r="37" spans="1:12" ht="15.6" x14ac:dyDescent="0.3">
      <c r="A37" s="18">
        <v>3</v>
      </c>
      <c r="B37" s="21" t="s">
        <v>113</v>
      </c>
      <c r="C37" s="22">
        <v>1000</v>
      </c>
      <c r="D37" s="22">
        <v>0.84</v>
      </c>
      <c r="E37" s="22">
        <v>0.21</v>
      </c>
      <c r="F37" s="22">
        <v>7</v>
      </c>
      <c r="G37" s="22">
        <v>12</v>
      </c>
      <c r="H37" s="23">
        <v>0.26</v>
      </c>
      <c r="I37" s="22">
        <v>0.3</v>
      </c>
      <c r="J37" s="22">
        <v>4.6399999999999997</v>
      </c>
      <c r="K37" s="22">
        <v>5.42</v>
      </c>
      <c r="L37" s="22">
        <v>0.15</v>
      </c>
    </row>
    <row r="38" spans="1:12" ht="15.6" x14ac:dyDescent="0.3">
      <c r="A38" s="18">
        <v>4</v>
      </c>
      <c r="B38" s="21" t="s">
        <v>114</v>
      </c>
      <c r="C38" s="22">
        <v>400</v>
      </c>
      <c r="D38" s="22">
        <v>0.84</v>
      </c>
      <c r="E38" s="22">
        <v>0.09</v>
      </c>
      <c r="F38" s="22">
        <v>6</v>
      </c>
      <c r="G38" s="22">
        <v>10</v>
      </c>
      <c r="H38" s="23">
        <v>0.13</v>
      </c>
      <c r="I38" s="22">
        <v>0.15</v>
      </c>
      <c r="J38" s="22">
        <v>2.0299999999999998</v>
      </c>
      <c r="K38" s="22">
        <v>2.35</v>
      </c>
      <c r="L38" s="22">
        <v>0.53</v>
      </c>
    </row>
    <row r="39" spans="1:12" ht="15.6" x14ac:dyDescent="0.3">
      <c r="A39" s="18">
        <v>5</v>
      </c>
      <c r="B39" s="21" t="s">
        <v>115</v>
      </c>
      <c r="C39" s="22">
        <v>500</v>
      </c>
      <c r="D39" s="22">
        <v>0.84</v>
      </c>
      <c r="E39" s="22">
        <v>0.12</v>
      </c>
      <c r="F39" s="22">
        <v>6</v>
      </c>
      <c r="G39" s="22">
        <v>10</v>
      </c>
      <c r="H39" s="23">
        <v>0.15</v>
      </c>
      <c r="I39" s="22">
        <v>0.19</v>
      </c>
      <c r="J39" s="22">
        <v>2.44</v>
      </c>
      <c r="K39" s="22">
        <v>2.95</v>
      </c>
      <c r="L39" s="22">
        <v>0.43</v>
      </c>
    </row>
    <row r="40" spans="1:12" ht="15.6" x14ac:dyDescent="0.3">
      <c r="A40" s="18">
        <v>6</v>
      </c>
      <c r="B40" s="21" t="s">
        <v>116</v>
      </c>
      <c r="C40" s="22">
        <v>200</v>
      </c>
      <c r="D40" s="22">
        <v>0.84</v>
      </c>
      <c r="E40" s="22">
        <v>6.3E-2</v>
      </c>
      <c r="F40" s="22">
        <v>4</v>
      </c>
      <c r="G40" s="22">
        <v>8</v>
      </c>
      <c r="H40" s="23">
        <v>7.1999999999999995E-2</v>
      </c>
      <c r="I40" s="22">
        <v>0.08</v>
      </c>
      <c r="J40" s="22">
        <v>1.03</v>
      </c>
      <c r="K40" s="22">
        <v>1.17</v>
      </c>
      <c r="L40" s="22">
        <v>0.35</v>
      </c>
    </row>
    <row r="41" spans="1:12" ht="15.6" x14ac:dyDescent="0.3">
      <c r="A41" s="18">
        <v>7</v>
      </c>
      <c r="B41" s="21" t="s">
        <v>117</v>
      </c>
      <c r="C41" s="22">
        <v>300</v>
      </c>
      <c r="D41" s="22">
        <v>0.84</v>
      </c>
      <c r="E41" s="22">
        <v>7.2999999999999995E-2</v>
      </c>
      <c r="F41" s="22">
        <v>4</v>
      </c>
      <c r="G41" s="22">
        <v>8</v>
      </c>
      <c r="H41" s="23">
        <v>8.2000000000000003E-2</v>
      </c>
      <c r="I41" s="22">
        <v>0.09</v>
      </c>
      <c r="J41" s="22">
        <v>1.34</v>
      </c>
      <c r="K41" s="22">
        <v>1.52</v>
      </c>
      <c r="L41" s="22">
        <v>0.28999999999999998</v>
      </c>
    </row>
    <row r="42" spans="1:12" ht="15.6" x14ac:dyDescent="0.3">
      <c r="A42" s="18">
        <v>8</v>
      </c>
      <c r="B42" s="21" t="s">
        <v>118</v>
      </c>
      <c r="C42" s="22">
        <v>1200</v>
      </c>
      <c r="D42" s="22">
        <v>0.84</v>
      </c>
      <c r="E42" s="22">
        <v>0.35</v>
      </c>
      <c r="F42" s="22">
        <v>2</v>
      </c>
      <c r="G42" s="22">
        <v>4</v>
      </c>
      <c r="H42" s="23">
        <v>0.47</v>
      </c>
      <c r="I42" s="22">
        <v>0.57999999999999996</v>
      </c>
      <c r="J42" s="22">
        <v>6.16</v>
      </c>
      <c r="K42" s="22">
        <v>7.15</v>
      </c>
      <c r="L42" s="22">
        <v>0.14000000000000001</v>
      </c>
    </row>
    <row r="43" spans="1:12" ht="15.6" x14ac:dyDescent="0.3">
      <c r="A43" s="18">
        <v>9</v>
      </c>
      <c r="B43" s="21" t="s">
        <v>119</v>
      </c>
      <c r="C43" s="22">
        <v>1400</v>
      </c>
      <c r="D43" s="22">
        <v>0.84</v>
      </c>
      <c r="E43" s="22">
        <v>0.41</v>
      </c>
      <c r="F43" s="22">
        <v>2</v>
      </c>
      <c r="G43" s="22">
        <v>4</v>
      </c>
      <c r="H43" s="23">
        <v>0.52</v>
      </c>
      <c r="I43" s="22">
        <v>0.64</v>
      </c>
      <c r="J43" s="22">
        <v>7</v>
      </c>
      <c r="K43" s="22">
        <v>8.11</v>
      </c>
      <c r="L43" s="22">
        <v>0.11</v>
      </c>
    </row>
    <row r="44" spans="1:12" ht="15.6" x14ac:dyDescent="0.3">
      <c r="A44" s="18">
        <v>10</v>
      </c>
      <c r="B44" s="21" t="s">
        <v>120</v>
      </c>
      <c r="C44" s="22">
        <v>600</v>
      </c>
      <c r="D44" s="22">
        <v>0.84</v>
      </c>
      <c r="E44" s="22">
        <v>0.1</v>
      </c>
      <c r="F44" s="22">
        <v>4</v>
      </c>
      <c r="G44" s="22">
        <v>10</v>
      </c>
      <c r="H44" s="23">
        <v>0.12</v>
      </c>
      <c r="I44" s="22">
        <v>0.17</v>
      </c>
      <c r="J44" s="22">
        <v>2.33</v>
      </c>
      <c r="K44" s="22">
        <v>3.06</v>
      </c>
      <c r="L44" s="22">
        <v>7.0000000000000007E-2</v>
      </c>
    </row>
    <row r="45" spans="1:12" ht="17.399999999999999" x14ac:dyDescent="0.3">
      <c r="B45" s="58" t="s">
        <v>200</v>
      </c>
      <c r="C45" s="10"/>
      <c r="D45" s="10"/>
      <c r="E45" s="10"/>
      <c r="F45" s="10"/>
      <c r="G45" s="10"/>
      <c r="H45" s="23">
        <v>1</v>
      </c>
      <c r="I45" s="22">
        <v>1</v>
      </c>
      <c r="J45" s="10"/>
      <c r="K45" s="10"/>
      <c r="L45" s="10"/>
    </row>
    <row r="46" spans="1:12" ht="15.6" x14ac:dyDescent="0.3">
      <c r="A46" s="18">
        <v>1</v>
      </c>
      <c r="B46" s="21" t="s">
        <v>153</v>
      </c>
      <c r="C46" s="22">
        <v>500</v>
      </c>
      <c r="D46" s="22">
        <v>0.84</v>
      </c>
      <c r="E46" s="22">
        <v>0.12</v>
      </c>
      <c r="F46" s="22">
        <v>4</v>
      </c>
      <c r="G46" s="22">
        <v>6</v>
      </c>
      <c r="H46" s="23">
        <v>0.15</v>
      </c>
      <c r="I46" s="22">
        <v>0.16</v>
      </c>
      <c r="J46" s="22">
        <v>2.38</v>
      </c>
      <c r="K46" s="22">
        <v>2.48</v>
      </c>
      <c r="L46" s="22">
        <v>0.2</v>
      </c>
    </row>
    <row r="47" spans="1:12" ht="15.6" x14ac:dyDescent="0.3">
      <c r="A47" s="18">
        <v>2</v>
      </c>
      <c r="B47" s="21" t="s">
        <v>157</v>
      </c>
      <c r="C47" s="22">
        <v>600</v>
      </c>
      <c r="D47" s="22">
        <v>0.84</v>
      </c>
      <c r="E47" s="22">
        <v>0.13</v>
      </c>
      <c r="F47" s="22">
        <v>4</v>
      </c>
      <c r="G47" s="22">
        <v>6</v>
      </c>
      <c r="H47" s="23">
        <v>0.16</v>
      </c>
      <c r="I47" s="22">
        <v>0.18</v>
      </c>
      <c r="J47" s="22">
        <v>2.65</v>
      </c>
      <c r="K47" s="22">
        <v>2.9</v>
      </c>
      <c r="L47" s="22">
        <v>0.17</v>
      </c>
    </row>
    <row r="48" spans="1:12" ht="15.6" x14ac:dyDescent="0.3">
      <c r="A48" s="18">
        <v>3</v>
      </c>
      <c r="B48" s="21" t="s">
        <v>158</v>
      </c>
      <c r="C48" s="22">
        <v>700</v>
      </c>
      <c r="D48" s="22">
        <v>0.84</v>
      </c>
      <c r="E48" s="22">
        <v>0.18</v>
      </c>
      <c r="F48" s="22">
        <v>6</v>
      </c>
      <c r="G48" s="22">
        <v>8</v>
      </c>
      <c r="H48" s="23">
        <v>0.24</v>
      </c>
      <c r="I48" s="22">
        <v>0.27</v>
      </c>
      <c r="J48" s="22">
        <v>3.66</v>
      </c>
      <c r="K48" s="22">
        <v>3.98</v>
      </c>
      <c r="L48" s="22">
        <v>0.16</v>
      </c>
    </row>
    <row r="49" spans="1:12" ht="15.6" x14ac:dyDescent="0.3">
      <c r="A49" s="18">
        <v>4</v>
      </c>
      <c r="B49" s="21" t="s">
        <v>159</v>
      </c>
      <c r="C49" s="22">
        <v>800</v>
      </c>
      <c r="D49" s="22">
        <v>0.84</v>
      </c>
      <c r="E49" s="22">
        <v>0.21</v>
      </c>
      <c r="F49" s="22">
        <v>6</v>
      </c>
      <c r="G49" s="22">
        <v>8</v>
      </c>
      <c r="H49" s="23">
        <v>0.27</v>
      </c>
      <c r="I49" s="22">
        <v>0.3</v>
      </c>
      <c r="J49" s="22">
        <v>4.16</v>
      </c>
      <c r="K49" s="22">
        <v>4.51</v>
      </c>
      <c r="L49" s="22">
        <v>0.14000000000000001</v>
      </c>
    </row>
    <row r="50" spans="1:12" ht="15.6" x14ac:dyDescent="0.3">
      <c r="A50" s="18">
        <v>5</v>
      </c>
      <c r="B50" s="21" t="s">
        <v>160</v>
      </c>
      <c r="C50" s="22">
        <v>900</v>
      </c>
      <c r="D50" s="22">
        <v>0.84</v>
      </c>
      <c r="E50" s="22">
        <v>0.24</v>
      </c>
      <c r="F50" s="22">
        <v>6</v>
      </c>
      <c r="G50" s="22">
        <v>8</v>
      </c>
      <c r="H50" s="23">
        <v>0.33</v>
      </c>
      <c r="I50" s="22">
        <v>0.36</v>
      </c>
      <c r="J50" s="22">
        <v>4.82</v>
      </c>
      <c r="K50" s="22">
        <v>5.23</v>
      </c>
      <c r="L50" s="22">
        <v>0.12</v>
      </c>
    </row>
    <row r="51" spans="1:12" ht="15.6" x14ac:dyDescent="0.3">
      <c r="A51" s="18">
        <v>6</v>
      </c>
      <c r="B51" s="21" t="s">
        <v>161</v>
      </c>
      <c r="C51" s="22">
        <v>1000</v>
      </c>
      <c r="D51" s="22">
        <v>0.84</v>
      </c>
      <c r="E51" s="22">
        <v>0.28999999999999998</v>
      </c>
      <c r="F51" s="22">
        <v>8</v>
      </c>
      <c r="G51" s="22">
        <v>12</v>
      </c>
      <c r="H51" s="23">
        <v>0.38</v>
      </c>
      <c r="I51" s="22">
        <v>0.44</v>
      </c>
      <c r="J51" s="22">
        <v>5.72</v>
      </c>
      <c r="K51" s="22">
        <v>6.59</v>
      </c>
      <c r="L51" s="22">
        <v>0.11</v>
      </c>
    </row>
    <row r="52" spans="1:12" ht="15.6" x14ac:dyDescent="0.3">
      <c r="A52" s="18">
        <v>7</v>
      </c>
      <c r="B52" s="21" t="s">
        <v>162</v>
      </c>
      <c r="C52" s="22">
        <v>1100</v>
      </c>
      <c r="D52" s="22">
        <v>0.84</v>
      </c>
      <c r="E52" s="22">
        <v>0.34</v>
      </c>
      <c r="F52" s="22">
        <v>10</v>
      </c>
      <c r="G52" s="22">
        <v>15</v>
      </c>
      <c r="H52" s="23">
        <v>0.45</v>
      </c>
      <c r="I52" s="22">
        <v>0.51</v>
      </c>
      <c r="J52" s="22">
        <v>6.74</v>
      </c>
      <c r="K52" s="22">
        <v>7.74</v>
      </c>
      <c r="L52" s="22">
        <v>0.1</v>
      </c>
    </row>
    <row r="53" spans="1:12" ht="15.6" x14ac:dyDescent="0.3">
      <c r="A53" s="18">
        <v>8</v>
      </c>
      <c r="B53" s="21" t="s">
        <v>163</v>
      </c>
      <c r="C53" s="22">
        <v>1200</v>
      </c>
      <c r="D53" s="22">
        <v>0.84</v>
      </c>
      <c r="E53" s="22">
        <v>0.38</v>
      </c>
      <c r="F53" s="22">
        <v>10</v>
      </c>
      <c r="G53" s="22">
        <v>15</v>
      </c>
      <c r="H53" s="23">
        <v>0.49</v>
      </c>
      <c r="I53" s="22">
        <v>0.55000000000000004</v>
      </c>
      <c r="J53" s="22">
        <v>7.37</v>
      </c>
      <c r="K53" s="22">
        <v>8.48</v>
      </c>
      <c r="L53" s="22">
        <v>0.09</v>
      </c>
    </row>
    <row r="54" spans="1:12" ht="15.6" x14ac:dyDescent="0.3">
      <c r="A54" s="18">
        <v>9</v>
      </c>
      <c r="B54" s="21" t="s">
        <v>164</v>
      </c>
      <c r="C54" s="22">
        <v>1000</v>
      </c>
      <c r="D54" s="22">
        <v>0.84</v>
      </c>
      <c r="E54" s="22">
        <v>0.23</v>
      </c>
      <c r="F54" s="22">
        <v>15</v>
      </c>
      <c r="G54" s="22">
        <v>22</v>
      </c>
      <c r="H54" s="23">
        <v>0.44</v>
      </c>
      <c r="I54" s="22">
        <v>0.5</v>
      </c>
      <c r="J54" s="22">
        <v>6.86</v>
      </c>
      <c r="K54" s="22">
        <v>8.01</v>
      </c>
      <c r="L54" s="22">
        <v>9.8000000000000004E-2</v>
      </c>
    </row>
    <row r="55" spans="1:12" ht="15.6" x14ac:dyDescent="0.3">
      <c r="A55" s="18">
        <v>10</v>
      </c>
      <c r="B55" s="21" t="s">
        <v>165</v>
      </c>
      <c r="C55" s="22">
        <v>1200</v>
      </c>
      <c r="D55" s="22">
        <v>0.84</v>
      </c>
      <c r="E55" s="22">
        <v>0.28999999999999998</v>
      </c>
      <c r="F55" s="22">
        <v>15</v>
      </c>
      <c r="G55" s="22">
        <v>22</v>
      </c>
      <c r="H55" s="23">
        <v>0.52</v>
      </c>
      <c r="I55" s="22">
        <v>0.57999999999999996</v>
      </c>
      <c r="J55" s="22">
        <v>8.17</v>
      </c>
      <c r="K55" s="22">
        <v>9.4600000000000009</v>
      </c>
      <c r="L55" s="22">
        <v>7.4999999999999997E-2</v>
      </c>
    </row>
    <row r="56" spans="1:12" ht="17.399999999999999" x14ac:dyDescent="0.3">
      <c r="B56" s="58" t="s">
        <v>201</v>
      </c>
      <c r="C56" s="10"/>
      <c r="D56" s="10"/>
      <c r="E56" s="10"/>
      <c r="F56" s="10"/>
      <c r="G56" s="10"/>
      <c r="H56" s="23">
        <v>1</v>
      </c>
      <c r="I56" s="22">
        <v>1</v>
      </c>
      <c r="J56" s="10"/>
      <c r="K56" s="10"/>
      <c r="L56" s="10"/>
    </row>
    <row r="57" spans="1:12" ht="15.6" x14ac:dyDescent="0.3">
      <c r="A57" s="18">
        <v>1</v>
      </c>
      <c r="B57" s="21" t="s">
        <v>166</v>
      </c>
      <c r="C57" s="22">
        <v>500</v>
      </c>
      <c r="D57" s="22">
        <v>0.84</v>
      </c>
      <c r="E57" s="22">
        <v>0.14000000000000001</v>
      </c>
      <c r="F57" s="22">
        <v>5</v>
      </c>
      <c r="G57" s="22">
        <v>10</v>
      </c>
      <c r="H57" s="23">
        <v>0.17</v>
      </c>
      <c r="I57" s="22">
        <v>0.23</v>
      </c>
      <c r="J57" s="22">
        <v>2.5499999999999998</v>
      </c>
      <c r="K57" s="22">
        <v>3.25</v>
      </c>
      <c r="L57" s="22">
        <v>0.3</v>
      </c>
    </row>
    <row r="58" spans="1:12" ht="15.6" x14ac:dyDescent="0.3">
      <c r="A58" s="18">
        <v>2</v>
      </c>
      <c r="B58" s="21" t="s">
        <v>167</v>
      </c>
      <c r="C58" s="22">
        <v>600</v>
      </c>
      <c r="D58" s="22">
        <v>0.84</v>
      </c>
      <c r="E58" s="22">
        <v>0.16</v>
      </c>
      <c r="F58" s="22">
        <v>5</v>
      </c>
      <c r="G58" s="22">
        <v>10</v>
      </c>
      <c r="H58" s="23">
        <v>0.2</v>
      </c>
      <c r="I58" s="22">
        <v>0.26</v>
      </c>
      <c r="J58" s="22">
        <v>3.03</v>
      </c>
      <c r="K58" s="22">
        <v>3.78</v>
      </c>
      <c r="L58" s="22">
        <v>0.26</v>
      </c>
    </row>
    <row r="59" spans="1:12" ht="15.6" x14ac:dyDescent="0.3">
      <c r="A59" s="18">
        <v>3</v>
      </c>
      <c r="B59" s="21" t="s">
        <v>168</v>
      </c>
      <c r="C59" s="22">
        <v>800</v>
      </c>
      <c r="D59" s="22">
        <v>0.84</v>
      </c>
      <c r="E59" s="22">
        <v>0.21</v>
      </c>
      <c r="F59" s="22">
        <v>5</v>
      </c>
      <c r="G59" s="22">
        <v>10</v>
      </c>
      <c r="H59" s="23">
        <v>0.24</v>
      </c>
      <c r="I59" s="22">
        <v>0.31</v>
      </c>
      <c r="J59" s="22">
        <v>3.83</v>
      </c>
      <c r="K59" s="22">
        <v>4.7699999999999996</v>
      </c>
      <c r="L59" s="22">
        <v>0.19</v>
      </c>
    </row>
    <row r="60" spans="1:12" ht="15.6" x14ac:dyDescent="0.3">
      <c r="A60" s="18">
        <v>4</v>
      </c>
      <c r="B60" s="21" t="s">
        <v>169</v>
      </c>
      <c r="C60" s="22">
        <v>1000</v>
      </c>
      <c r="D60" s="22">
        <v>0.84</v>
      </c>
      <c r="E60" s="22">
        <v>0.27</v>
      </c>
      <c r="F60" s="22">
        <v>5</v>
      </c>
      <c r="G60" s="22">
        <v>10</v>
      </c>
      <c r="H60" s="23">
        <v>0.33</v>
      </c>
      <c r="I60" s="22">
        <v>0.41</v>
      </c>
      <c r="J60" s="22">
        <v>5.03</v>
      </c>
      <c r="K60" s="22">
        <v>6.13</v>
      </c>
      <c r="L60" s="22">
        <v>0.14000000000000001</v>
      </c>
    </row>
    <row r="61" spans="1:12" ht="15.6" x14ac:dyDescent="0.3">
      <c r="A61" s="18">
        <v>5</v>
      </c>
      <c r="B61" s="21" t="s">
        <v>170</v>
      </c>
      <c r="C61" s="22">
        <v>1200</v>
      </c>
      <c r="D61" s="22">
        <v>0.84</v>
      </c>
      <c r="E61" s="22">
        <v>0.36</v>
      </c>
      <c r="F61" s="22">
        <v>5</v>
      </c>
      <c r="G61" s="22">
        <v>10</v>
      </c>
      <c r="H61" s="23">
        <v>0.44</v>
      </c>
      <c r="I61" s="22">
        <v>0.52</v>
      </c>
      <c r="J61" s="22">
        <v>6.36</v>
      </c>
      <c r="K61" s="22">
        <v>7.57</v>
      </c>
      <c r="L61" s="22">
        <v>0.11</v>
      </c>
    </row>
    <row r="62" spans="1:12" ht="15.6" x14ac:dyDescent="0.3">
      <c r="A62" s="18">
        <v>6</v>
      </c>
      <c r="B62" s="21" t="s">
        <v>171</v>
      </c>
      <c r="C62" s="22">
        <v>1400</v>
      </c>
      <c r="D62" s="22">
        <v>0.84</v>
      </c>
      <c r="E62" s="22">
        <v>0.47</v>
      </c>
      <c r="F62" s="22">
        <v>5</v>
      </c>
      <c r="G62" s="22">
        <v>10</v>
      </c>
      <c r="H62" s="23">
        <v>0.56000000000000005</v>
      </c>
      <c r="I62" s="22">
        <v>0.65</v>
      </c>
      <c r="J62" s="22">
        <v>7.75</v>
      </c>
      <c r="K62" s="22">
        <v>9.14</v>
      </c>
      <c r="L62" s="22">
        <v>9.8000000000000004E-2</v>
      </c>
    </row>
    <row r="63" spans="1:12" ht="15.6" x14ac:dyDescent="0.3">
      <c r="A63" s="18">
        <v>7</v>
      </c>
      <c r="B63" s="21" t="s">
        <v>172</v>
      </c>
      <c r="C63" s="22">
        <v>1600</v>
      </c>
      <c r="D63" s="22">
        <v>0.84</v>
      </c>
      <c r="E63" s="22">
        <v>0.57999999999999996</v>
      </c>
      <c r="F63" s="22">
        <v>5</v>
      </c>
      <c r="G63" s="22">
        <v>10</v>
      </c>
      <c r="H63" s="23">
        <v>0.67</v>
      </c>
      <c r="I63" s="22">
        <v>0.79</v>
      </c>
      <c r="J63" s="22">
        <v>9.06</v>
      </c>
      <c r="K63" s="22">
        <v>10.77</v>
      </c>
      <c r="L63" s="22">
        <v>0.09</v>
      </c>
    </row>
    <row r="64" spans="1:12" ht="15.6" x14ac:dyDescent="0.3">
      <c r="A64" s="18">
        <v>8</v>
      </c>
      <c r="B64" s="21" t="s">
        <v>173</v>
      </c>
      <c r="C64" s="22">
        <v>1800</v>
      </c>
      <c r="D64" s="22">
        <v>0.84</v>
      </c>
      <c r="E64" s="22">
        <v>0.66</v>
      </c>
      <c r="F64" s="22">
        <v>5</v>
      </c>
      <c r="G64" s="22">
        <v>10</v>
      </c>
      <c r="H64" s="23">
        <v>0.8</v>
      </c>
      <c r="I64" s="22">
        <v>0.92</v>
      </c>
      <c r="J64" s="22">
        <v>10.5</v>
      </c>
      <c r="K64" s="22">
        <v>12.33</v>
      </c>
      <c r="L64" s="22">
        <v>0.09</v>
      </c>
    </row>
    <row r="65" spans="1:12" ht="15.6" x14ac:dyDescent="0.3">
      <c r="A65" s="18">
        <v>9</v>
      </c>
      <c r="B65" s="21" t="s">
        <v>174</v>
      </c>
      <c r="C65" s="22">
        <v>800</v>
      </c>
      <c r="D65" s="22">
        <v>0.84</v>
      </c>
      <c r="E65" s="22">
        <v>0.23</v>
      </c>
      <c r="F65" s="22">
        <v>4</v>
      </c>
      <c r="G65" s="22">
        <v>8</v>
      </c>
      <c r="H65" s="23">
        <v>0.28999999999999998</v>
      </c>
      <c r="I65" s="22">
        <v>0.35</v>
      </c>
      <c r="J65" s="22">
        <v>4.13</v>
      </c>
      <c r="K65" s="22">
        <v>4.9000000000000004</v>
      </c>
      <c r="L65" s="22">
        <v>7.4999999999999997E-2</v>
      </c>
    </row>
    <row r="66" spans="1:12" ht="15.6" x14ac:dyDescent="0.3">
      <c r="A66" s="18">
        <v>10</v>
      </c>
      <c r="B66" s="21" t="s">
        <v>175</v>
      </c>
      <c r="C66" s="22">
        <v>1000</v>
      </c>
      <c r="D66" s="22">
        <v>0.84</v>
      </c>
      <c r="E66" s="22">
        <v>0.33</v>
      </c>
      <c r="F66" s="22">
        <v>4</v>
      </c>
      <c r="G66" s="22">
        <v>8</v>
      </c>
      <c r="H66" s="23">
        <v>0.41</v>
      </c>
      <c r="I66" s="22">
        <v>0.47</v>
      </c>
      <c r="J66" s="22">
        <v>5.49</v>
      </c>
      <c r="K66" s="22">
        <v>6.35</v>
      </c>
      <c r="L66" s="22">
        <v>7.4999999999999997E-2</v>
      </c>
    </row>
    <row r="67" spans="1:12" ht="15.6" x14ac:dyDescent="0.3">
      <c r="A67" s="18">
        <v>11</v>
      </c>
      <c r="B67" s="21" t="s">
        <v>176</v>
      </c>
      <c r="C67" s="22">
        <v>1200</v>
      </c>
      <c r="D67" s="22">
        <v>0.84</v>
      </c>
      <c r="E67" s="22">
        <v>0.41</v>
      </c>
      <c r="F67" s="22">
        <v>4</v>
      </c>
      <c r="G67" s="22">
        <v>8</v>
      </c>
      <c r="H67" s="23">
        <v>0.52</v>
      </c>
      <c r="I67" s="22">
        <v>0.57999999999999996</v>
      </c>
      <c r="J67" s="22">
        <v>6.77</v>
      </c>
      <c r="K67" s="22">
        <v>7.72</v>
      </c>
      <c r="L67" s="22">
        <v>7.4999999999999997E-2</v>
      </c>
    </row>
    <row r="68" spans="1:12" ht="15.6" x14ac:dyDescent="0.3">
      <c r="A68" s="18">
        <v>12</v>
      </c>
      <c r="B68" s="21" t="s">
        <v>177</v>
      </c>
      <c r="C68" s="22">
        <v>800</v>
      </c>
      <c r="D68" s="22">
        <v>0.84</v>
      </c>
      <c r="E68" s="22">
        <v>0.22</v>
      </c>
      <c r="F68" s="22">
        <v>9</v>
      </c>
      <c r="G68" s="22">
        <v>13</v>
      </c>
      <c r="H68" s="23">
        <v>0.28999999999999998</v>
      </c>
      <c r="I68" s="22">
        <v>0.35</v>
      </c>
      <c r="J68" s="22">
        <v>4.54</v>
      </c>
      <c r="K68" s="22">
        <v>5.32</v>
      </c>
      <c r="L68" s="22">
        <v>0.17</v>
      </c>
    </row>
    <row r="69" spans="1:12" ht="15.6" x14ac:dyDescent="0.3">
      <c r="A69" s="18">
        <v>13</v>
      </c>
      <c r="B69" s="21" t="s">
        <v>178</v>
      </c>
      <c r="C69" s="22">
        <v>1000</v>
      </c>
      <c r="D69" s="22">
        <v>0.84</v>
      </c>
      <c r="E69" s="22">
        <v>0.28000000000000003</v>
      </c>
      <c r="F69" s="22">
        <v>9</v>
      </c>
      <c r="G69" s="22">
        <v>13</v>
      </c>
      <c r="H69" s="23">
        <v>0.35</v>
      </c>
      <c r="I69" s="22">
        <v>0.41</v>
      </c>
      <c r="J69" s="22">
        <v>5.57</v>
      </c>
      <c r="K69" s="22">
        <v>6.43</v>
      </c>
      <c r="L69" s="22">
        <v>0.15</v>
      </c>
    </row>
    <row r="70" spans="1:12" ht="15.6" x14ac:dyDescent="0.3">
      <c r="A70" s="18">
        <v>14</v>
      </c>
      <c r="B70" s="21" t="s">
        <v>179</v>
      </c>
      <c r="C70" s="22">
        <v>1000</v>
      </c>
      <c r="D70" s="22">
        <v>0.84</v>
      </c>
      <c r="E70" s="22">
        <v>0.25</v>
      </c>
      <c r="F70" s="22">
        <v>4</v>
      </c>
      <c r="G70" s="22">
        <v>8</v>
      </c>
      <c r="H70" s="23">
        <v>0.33</v>
      </c>
      <c r="I70" s="22">
        <v>0.41</v>
      </c>
      <c r="J70" s="22">
        <v>5.0599999999999996</v>
      </c>
      <c r="K70" s="22">
        <v>5.91</v>
      </c>
      <c r="L70" s="22">
        <v>0.15</v>
      </c>
    </row>
    <row r="71" spans="1:12" ht="15.6" x14ac:dyDescent="0.3">
      <c r="A71" s="18">
        <v>15</v>
      </c>
      <c r="B71" s="21" t="s">
        <v>180</v>
      </c>
      <c r="C71" s="22">
        <v>600</v>
      </c>
      <c r="D71" s="22">
        <v>0.84</v>
      </c>
      <c r="E71" s="22">
        <v>0.12</v>
      </c>
      <c r="F71" s="22">
        <v>10</v>
      </c>
      <c r="G71" s="22">
        <v>15</v>
      </c>
      <c r="H71" s="23">
        <v>0.19</v>
      </c>
      <c r="I71" s="22">
        <v>0.23</v>
      </c>
      <c r="J71" s="22">
        <v>3.24</v>
      </c>
      <c r="K71" s="22">
        <v>3.84</v>
      </c>
      <c r="L71" s="22">
        <v>0.3</v>
      </c>
    </row>
    <row r="72" spans="1:12" ht="15.6" x14ac:dyDescent="0.3">
      <c r="A72" s="18">
        <v>16</v>
      </c>
      <c r="B72" s="21" t="s">
        <v>181</v>
      </c>
      <c r="C72" s="22">
        <v>800</v>
      </c>
      <c r="D72" s="22">
        <v>0.84</v>
      </c>
      <c r="E72" s="22">
        <v>0.16</v>
      </c>
      <c r="F72" s="22">
        <v>10</v>
      </c>
      <c r="G72" s="22">
        <v>15</v>
      </c>
      <c r="H72" s="23">
        <v>0.27</v>
      </c>
      <c r="I72" s="22">
        <v>0.33</v>
      </c>
      <c r="J72" s="22">
        <v>4.45</v>
      </c>
      <c r="K72" s="22">
        <v>5.32</v>
      </c>
      <c r="L72" s="22">
        <v>0.26</v>
      </c>
    </row>
    <row r="73" spans="1:12" ht="15.6" x14ac:dyDescent="0.3">
      <c r="A73" s="18">
        <v>17</v>
      </c>
      <c r="B73" s="21" t="s">
        <v>182</v>
      </c>
      <c r="C73" s="22">
        <v>1000</v>
      </c>
      <c r="D73" s="22">
        <v>0.84</v>
      </c>
      <c r="E73" s="22">
        <v>0.22</v>
      </c>
      <c r="F73" s="22">
        <v>10</v>
      </c>
      <c r="G73" s="22">
        <v>15</v>
      </c>
      <c r="H73" s="23">
        <v>0.33</v>
      </c>
      <c r="I73" s="22">
        <v>0.38</v>
      </c>
      <c r="J73" s="22">
        <v>5.5</v>
      </c>
      <c r="K73" s="22">
        <v>6.38</v>
      </c>
      <c r="L73" s="22">
        <v>0.19</v>
      </c>
    </row>
    <row r="74" spans="1:12" ht="15.6" x14ac:dyDescent="0.3">
      <c r="A74" s="18">
        <v>18</v>
      </c>
      <c r="B74" s="21" t="s">
        <v>183</v>
      </c>
      <c r="C74" s="22">
        <v>1200</v>
      </c>
      <c r="D74" s="22">
        <v>0.84</v>
      </c>
      <c r="E74" s="22">
        <v>0.28999999999999998</v>
      </c>
      <c r="F74" s="22">
        <v>10</v>
      </c>
      <c r="G74" s="22">
        <v>15</v>
      </c>
      <c r="H74" s="23">
        <v>0.44</v>
      </c>
      <c r="I74" s="22">
        <v>0.5</v>
      </c>
      <c r="J74" s="22">
        <v>6.96</v>
      </c>
      <c r="K74" s="22">
        <v>8.01</v>
      </c>
      <c r="L74" s="22">
        <v>0.15</v>
      </c>
    </row>
    <row r="75" spans="1:12" ht="15.6" x14ac:dyDescent="0.3">
      <c r="A75" s="18">
        <v>19</v>
      </c>
      <c r="B75" s="21" t="s">
        <v>184</v>
      </c>
      <c r="C75" s="22">
        <v>1000</v>
      </c>
      <c r="D75" s="22">
        <v>0.84</v>
      </c>
      <c r="E75" s="22">
        <v>0.23</v>
      </c>
      <c r="F75" s="22">
        <v>5</v>
      </c>
      <c r="G75" s="22">
        <v>8</v>
      </c>
      <c r="H75" s="23">
        <v>0.31</v>
      </c>
      <c r="I75" s="22">
        <v>0.37</v>
      </c>
      <c r="J75" s="22">
        <v>4.87</v>
      </c>
      <c r="K75" s="22">
        <v>5.63</v>
      </c>
      <c r="L75" s="22">
        <v>0.11</v>
      </c>
    </row>
    <row r="76" spans="1:12" ht="15.6" x14ac:dyDescent="0.3">
      <c r="A76" s="18">
        <v>20</v>
      </c>
      <c r="B76" s="21" t="s">
        <v>185</v>
      </c>
      <c r="C76" s="22">
        <v>1200</v>
      </c>
      <c r="D76" s="22">
        <v>0.84</v>
      </c>
      <c r="E76" s="22">
        <v>0.28999999999999998</v>
      </c>
      <c r="F76" s="22">
        <v>5</v>
      </c>
      <c r="G76" s="22">
        <v>8</v>
      </c>
      <c r="H76" s="23">
        <v>0.37</v>
      </c>
      <c r="I76" s="22">
        <v>0.44</v>
      </c>
      <c r="J76" s="22">
        <v>5.83</v>
      </c>
      <c r="K76" s="22">
        <v>6.73</v>
      </c>
      <c r="L76" s="22">
        <v>0.11</v>
      </c>
    </row>
    <row r="77" spans="1:12" ht="15.6" x14ac:dyDescent="0.3">
      <c r="A77" s="18">
        <v>21</v>
      </c>
      <c r="B77" s="21" t="s">
        <v>186</v>
      </c>
      <c r="C77" s="22">
        <v>1400</v>
      </c>
      <c r="D77" s="22">
        <v>0.84</v>
      </c>
      <c r="E77" s="22">
        <v>0.35</v>
      </c>
      <c r="F77" s="22">
        <v>5</v>
      </c>
      <c r="G77" s="22">
        <v>8</v>
      </c>
      <c r="H77" s="23">
        <v>0.44</v>
      </c>
      <c r="I77" s="22">
        <v>0.52</v>
      </c>
      <c r="J77" s="22">
        <v>6.87</v>
      </c>
      <c r="K77" s="22">
        <v>7.9</v>
      </c>
      <c r="L77" s="22">
        <v>9.8000000000000004E-2</v>
      </c>
    </row>
    <row r="78" spans="1:12" ht="15.6" x14ac:dyDescent="0.3">
      <c r="A78" s="18">
        <v>22</v>
      </c>
      <c r="B78" s="21" t="s">
        <v>187</v>
      </c>
      <c r="C78" s="22">
        <v>1600</v>
      </c>
      <c r="D78" s="22">
        <v>0.84</v>
      </c>
      <c r="E78" s="22">
        <v>0.41</v>
      </c>
      <c r="F78" s="22">
        <v>5</v>
      </c>
      <c r="G78" s="22">
        <v>8</v>
      </c>
      <c r="H78" s="23">
        <v>0.52</v>
      </c>
      <c r="I78" s="22">
        <v>0.63</v>
      </c>
      <c r="J78" s="22">
        <v>7.98</v>
      </c>
      <c r="K78" s="22">
        <v>9.2899999999999991</v>
      </c>
      <c r="L78" s="22">
        <v>0.09</v>
      </c>
    </row>
    <row r="79" spans="1:12" ht="15.6" x14ac:dyDescent="0.3">
      <c r="A79" s="18">
        <v>23</v>
      </c>
      <c r="B79" s="21" t="s">
        <v>188</v>
      </c>
      <c r="C79" s="22">
        <v>1200</v>
      </c>
      <c r="D79" s="22">
        <v>0.84</v>
      </c>
      <c r="E79" s="22">
        <v>0.35</v>
      </c>
      <c r="F79" s="22">
        <v>5</v>
      </c>
      <c r="G79" s="22">
        <v>8</v>
      </c>
      <c r="H79" s="23">
        <v>0.47</v>
      </c>
      <c r="I79" s="22">
        <v>0.52</v>
      </c>
      <c r="J79" s="22">
        <v>6.57</v>
      </c>
      <c r="K79" s="22">
        <v>7.31</v>
      </c>
      <c r="L79" s="22">
        <v>0.11</v>
      </c>
    </row>
    <row r="80" spans="1:12" ht="15.6" x14ac:dyDescent="0.3">
      <c r="A80" s="18">
        <v>24</v>
      </c>
      <c r="B80" s="21" t="s">
        <v>189</v>
      </c>
      <c r="C80" s="22">
        <v>1400</v>
      </c>
      <c r="D80" s="22">
        <v>0.84</v>
      </c>
      <c r="E80" s="22">
        <v>0.41</v>
      </c>
      <c r="F80" s="22">
        <v>5</v>
      </c>
      <c r="G80" s="22">
        <v>8</v>
      </c>
      <c r="H80" s="23">
        <v>0.52</v>
      </c>
      <c r="I80" s="22">
        <v>0.57999999999999996</v>
      </c>
      <c r="J80" s="22">
        <v>7.46</v>
      </c>
      <c r="K80" s="22">
        <v>8.34</v>
      </c>
      <c r="L80" s="22">
        <v>9.8000000000000004E-2</v>
      </c>
    </row>
    <row r="81" spans="1:12" ht="15.6" x14ac:dyDescent="0.3">
      <c r="A81" s="18">
        <v>25</v>
      </c>
      <c r="B81" s="21" t="s">
        <v>190</v>
      </c>
      <c r="C81" s="22">
        <v>1600</v>
      </c>
      <c r="D81" s="22">
        <v>0.84</v>
      </c>
      <c r="E81" s="22">
        <v>0.47</v>
      </c>
      <c r="F81" s="22">
        <v>5</v>
      </c>
      <c r="G81" s="22">
        <v>8</v>
      </c>
      <c r="H81" s="23">
        <v>0.57999999999999996</v>
      </c>
      <c r="I81" s="22">
        <v>0.64</v>
      </c>
      <c r="J81" s="22">
        <v>8.43</v>
      </c>
      <c r="K81" s="22">
        <v>9.3699999999999992</v>
      </c>
      <c r="L81" s="22">
        <v>0.09</v>
      </c>
    </row>
    <row r="82" spans="1:12" ht="15.6" x14ac:dyDescent="0.3">
      <c r="A82" s="18">
        <v>26</v>
      </c>
      <c r="B82" s="21" t="s">
        <v>191</v>
      </c>
      <c r="C82" s="22">
        <v>1000</v>
      </c>
      <c r="D82" s="22">
        <v>0.84</v>
      </c>
      <c r="E82" s="22">
        <v>0.24</v>
      </c>
      <c r="F82" s="22">
        <v>5</v>
      </c>
      <c r="G82" s="22">
        <v>8</v>
      </c>
      <c r="H82" s="23">
        <v>0.3</v>
      </c>
      <c r="I82" s="22">
        <v>0.35</v>
      </c>
      <c r="J82" s="22">
        <v>4.79</v>
      </c>
      <c r="K82" s="22">
        <v>5.48</v>
      </c>
      <c r="L82" s="22">
        <v>0.12</v>
      </c>
    </row>
    <row r="83" spans="1:12" ht="15.6" x14ac:dyDescent="0.3">
      <c r="A83" s="18">
        <v>27</v>
      </c>
      <c r="B83" s="21" t="s">
        <v>192</v>
      </c>
      <c r="C83" s="22">
        <v>1200</v>
      </c>
      <c r="D83" s="22">
        <v>0.84</v>
      </c>
      <c r="E83" s="22">
        <v>0.35</v>
      </c>
      <c r="F83" s="22">
        <v>5</v>
      </c>
      <c r="G83" s="22">
        <v>8</v>
      </c>
      <c r="H83" s="23">
        <v>0.41</v>
      </c>
      <c r="I83" s="22">
        <v>0.47</v>
      </c>
      <c r="J83" s="22">
        <v>6.14</v>
      </c>
      <c r="K83" s="22">
        <v>6.95</v>
      </c>
      <c r="L83" s="22">
        <v>0.11</v>
      </c>
    </row>
    <row r="84" spans="1:12" ht="15.6" x14ac:dyDescent="0.3">
      <c r="A84" s="18">
        <v>28</v>
      </c>
      <c r="B84" s="21" t="s">
        <v>193</v>
      </c>
      <c r="C84" s="22">
        <v>1400</v>
      </c>
      <c r="D84" s="22">
        <v>0.84</v>
      </c>
      <c r="E84" s="22">
        <v>0.47</v>
      </c>
      <c r="F84" s="22">
        <v>5</v>
      </c>
      <c r="G84" s="22">
        <v>8</v>
      </c>
      <c r="H84" s="23">
        <v>0.52</v>
      </c>
      <c r="I84" s="22">
        <v>0.57999999999999996</v>
      </c>
      <c r="J84" s="22">
        <v>7.46</v>
      </c>
      <c r="K84" s="22">
        <v>8.34</v>
      </c>
      <c r="L84" s="22">
        <v>0.09</v>
      </c>
    </row>
    <row r="85" spans="1:12" ht="17.399999999999999" x14ac:dyDescent="0.3">
      <c r="B85" s="58" t="s">
        <v>203</v>
      </c>
      <c r="C85" s="10"/>
      <c r="D85" s="10"/>
      <c r="E85" s="10"/>
      <c r="F85" s="10"/>
      <c r="G85" s="10"/>
      <c r="H85" s="23">
        <v>1</v>
      </c>
      <c r="I85" s="22">
        <v>1</v>
      </c>
      <c r="J85" s="10"/>
      <c r="K85" s="10"/>
      <c r="L85" s="10"/>
    </row>
    <row r="86" spans="1:12" ht="15.6" x14ac:dyDescent="0.3">
      <c r="A86" s="18">
        <v>1</v>
      </c>
      <c r="B86" s="21" t="s">
        <v>124</v>
      </c>
      <c r="C86" s="22">
        <v>500</v>
      </c>
      <c r="D86" s="22">
        <v>2.2999999999999998</v>
      </c>
      <c r="E86" s="22">
        <v>0.09</v>
      </c>
      <c r="F86" s="22">
        <v>15</v>
      </c>
      <c r="G86" s="22">
        <v>20</v>
      </c>
      <c r="H86" s="23">
        <v>0.14000000000000001</v>
      </c>
      <c r="I86" s="22">
        <v>0.18</v>
      </c>
      <c r="J86" s="22">
        <v>3.87</v>
      </c>
      <c r="K86" s="22">
        <v>4.54</v>
      </c>
      <c r="L86" s="22">
        <v>0.06</v>
      </c>
    </row>
    <row r="87" spans="1:12" ht="15.6" x14ac:dyDescent="0.3">
      <c r="A87" s="18">
        <v>2</v>
      </c>
      <c r="B87" s="21" t="s">
        <v>125</v>
      </c>
      <c r="C87" s="22">
        <v>500</v>
      </c>
      <c r="D87" s="22">
        <v>2.2999999999999998</v>
      </c>
      <c r="E87" s="22">
        <v>0.18</v>
      </c>
      <c r="F87" s="22">
        <v>15</v>
      </c>
      <c r="G87" s="22">
        <v>20</v>
      </c>
      <c r="H87" s="23">
        <v>0.28999999999999998</v>
      </c>
      <c r="I87" s="22">
        <v>0.35</v>
      </c>
      <c r="J87" s="22">
        <v>5.56</v>
      </c>
      <c r="K87" s="22">
        <v>6.33</v>
      </c>
      <c r="L87" s="22">
        <v>0.32</v>
      </c>
    </row>
    <row r="88" spans="1:12" ht="15" customHeight="1" x14ac:dyDescent="0.3">
      <c r="A88" s="18">
        <v>3</v>
      </c>
      <c r="B88" s="21" t="s">
        <v>126</v>
      </c>
      <c r="C88" s="22">
        <v>700</v>
      </c>
      <c r="D88" s="22">
        <v>2.2999999999999998</v>
      </c>
      <c r="E88" s="22">
        <v>0.1</v>
      </c>
      <c r="F88" s="22">
        <v>10</v>
      </c>
      <c r="G88" s="22">
        <v>15</v>
      </c>
      <c r="H88" s="23">
        <v>0.18</v>
      </c>
      <c r="I88" s="22">
        <v>0.23</v>
      </c>
      <c r="J88" s="22">
        <v>5</v>
      </c>
      <c r="K88" s="22">
        <v>5.86</v>
      </c>
      <c r="L88" s="22">
        <v>0.05</v>
      </c>
    </row>
    <row r="89" spans="1:12" ht="15.6" x14ac:dyDescent="0.3">
      <c r="A89" s="18">
        <v>4</v>
      </c>
      <c r="B89" s="21" t="s">
        <v>127</v>
      </c>
      <c r="C89" s="22">
        <v>700</v>
      </c>
      <c r="D89" s="22">
        <v>2.2999999999999998</v>
      </c>
      <c r="E89" s="22">
        <v>0.23</v>
      </c>
      <c r="F89" s="22">
        <v>10</v>
      </c>
      <c r="G89" s="22">
        <v>15</v>
      </c>
      <c r="H89" s="23">
        <v>0.35</v>
      </c>
      <c r="I89" s="22">
        <v>0.41</v>
      </c>
      <c r="J89" s="22">
        <v>6.9</v>
      </c>
      <c r="K89" s="22">
        <v>7.83</v>
      </c>
      <c r="L89" s="22">
        <v>0.3</v>
      </c>
    </row>
    <row r="90" spans="1:12" ht="15.6" x14ac:dyDescent="0.3">
      <c r="A90" s="18">
        <v>5</v>
      </c>
      <c r="B90" s="21" t="s">
        <v>128</v>
      </c>
      <c r="C90" s="22">
        <v>600</v>
      </c>
      <c r="D90" s="22">
        <v>2.2999999999999998</v>
      </c>
      <c r="E90" s="22">
        <v>0.12</v>
      </c>
      <c r="F90" s="22">
        <v>10</v>
      </c>
      <c r="G90" s="22">
        <v>13</v>
      </c>
      <c r="H90" s="23">
        <v>0.15</v>
      </c>
      <c r="I90" s="22">
        <v>0.18</v>
      </c>
      <c r="J90" s="22">
        <v>4.22</v>
      </c>
      <c r="K90" s="22">
        <v>4.7300000000000004</v>
      </c>
      <c r="L90" s="22">
        <v>0.02</v>
      </c>
    </row>
    <row r="91" spans="1:12" ht="15.6" x14ac:dyDescent="0.3">
      <c r="A91" s="18">
        <v>7</v>
      </c>
      <c r="B91" s="21" t="s">
        <v>130</v>
      </c>
      <c r="C91" s="22">
        <v>650</v>
      </c>
      <c r="D91" s="22">
        <v>2.2999999999999998</v>
      </c>
      <c r="E91" s="22">
        <v>0.13</v>
      </c>
      <c r="F91" s="22">
        <v>6</v>
      </c>
      <c r="G91" s="22">
        <v>12</v>
      </c>
      <c r="H91" s="23">
        <v>0.15</v>
      </c>
      <c r="I91" s="22">
        <v>0.18</v>
      </c>
      <c r="J91" s="22">
        <v>4.26</v>
      </c>
      <c r="K91" s="22">
        <v>4.8899999999999997</v>
      </c>
      <c r="L91" s="22">
        <v>8.3000000000000004E-2</v>
      </c>
    </row>
    <row r="92" spans="1:12" ht="17.399999999999999" x14ac:dyDescent="0.3">
      <c r="B92" s="58" t="s">
        <v>210</v>
      </c>
      <c r="C92" s="10"/>
      <c r="D92" s="10"/>
      <c r="E92" s="10"/>
      <c r="F92" s="10"/>
      <c r="G92" s="10"/>
      <c r="H92" s="23">
        <v>1</v>
      </c>
      <c r="I92" s="22">
        <v>1</v>
      </c>
      <c r="J92" s="10"/>
      <c r="K92" s="10"/>
      <c r="L92" s="10"/>
    </row>
    <row r="93" spans="1:12" ht="15.6" x14ac:dyDescent="0.3">
      <c r="A93" s="18">
        <v>1</v>
      </c>
      <c r="B93" s="21" t="s">
        <v>131</v>
      </c>
      <c r="C93" s="22">
        <v>1600</v>
      </c>
      <c r="D93" s="22">
        <v>0.84</v>
      </c>
      <c r="E93" s="22">
        <v>0.47</v>
      </c>
      <c r="F93" s="22">
        <v>2</v>
      </c>
      <c r="G93" s="22">
        <v>4</v>
      </c>
      <c r="H93" s="23">
        <v>0.7</v>
      </c>
      <c r="I93" s="22">
        <v>0.81</v>
      </c>
      <c r="J93" s="22">
        <v>8.69</v>
      </c>
      <c r="K93" s="22">
        <v>9.76</v>
      </c>
      <c r="L93" s="22">
        <v>0.12</v>
      </c>
    </row>
    <row r="94" spans="1:12" ht="15.6" x14ac:dyDescent="0.3">
      <c r="A94" s="18">
        <v>2</v>
      </c>
      <c r="B94" s="21" t="s">
        <v>132</v>
      </c>
      <c r="C94" s="22">
        <v>1700</v>
      </c>
      <c r="D94" s="22">
        <v>0.84</v>
      </c>
      <c r="E94" s="22">
        <v>0.52</v>
      </c>
      <c r="F94" s="22">
        <v>2</v>
      </c>
      <c r="G94" s="22">
        <v>4</v>
      </c>
      <c r="H94" s="23">
        <v>0.7</v>
      </c>
      <c r="I94" s="22">
        <v>0.87</v>
      </c>
      <c r="J94" s="22">
        <v>8.9499999999999993</v>
      </c>
      <c r="K94" s="22">
        <v>10.42</v>
      </c>
      <c r="L94" s="22">
        <v>9.8000000000000004E-2</v>
      </c>
    </row>
    <row r="95" spans="1:12" ht="15.6" x14ac:dyDescent="0.3">
      <c r="A95" s="18">
        <v>3</v>
      </c>
      <c r="B95" s="21" t="s">
        <v>133</v>
      </c>
      <c r="C95" s="22">
        <v>1800</v>
      </c>
      <c r="D95" s="22">
        <v>0.84</v>
      </c>
      <c r="E95" s="22">
        <v>0.57999999999999996</v>
      </c>
      <c r="F95" s="22">
        <v>2</v>
      </c>
      <c r="G95" s="22">
        <v>4</v>
      </c>
      <c r="H95" s="23">
        <v>0.76</v>
      </c>
      <c r="I95" s="22">
        <v>0.93</v>
      </c>
      <c r="J95" s="22">
        <v>9.6</v>
      </c>
      <c r="K95" s="22">
        <v>11.09</v>
      </c>
      <c r="L95" s="22">
        <v>0.09</v>
      </c>
    </row>
    <row r="96" spans="1:12" ht="17.399999999999999" x14ac:dyDescent="0.3">
      <c r="B96" s="58" t="s">
        <v>238</v>
      </c>
      <c r="C96" s="10"/>
      <c r="D96" s="10"/>
      <c r="E96" s="10"/>
      <c r="F96" s="10"/>
      <c r="G96" s="10"/>
      <c r="H96" s="23">
        <v>1</v>
      </c>
      <c r="I96" s="22">
        <v>1</v>
      </c>
      <c r="J96" s="10"/>
      <c r="K96" s="10"/>
      <c r="L96" s="10"/>
    </row>
    <row r="97" spans="1:12" ht="15.6" x14ac:dyDescent="0.3">
      <c r="A97" s="18">
        <v>1</v>
      </c>
      <c r="B97" s="21" t="s">
        <v>478</v>
      </c>
      <c r="C97" s="22">
        <v>1600</v>
      </c>
      <c r="D97" s="22">
        <v>0.84</v>
      </c>
      <c r="E97" s="22">
        <v>0.23</v>
      </c>
      <c r="F97" s="22">
        <v>2</v>
      </c>
      <c r="G97" s="22">
        <v>3</v>
      </c>
      <c r="H97" s="23">
        <v>0.35</v>
      </c>
      <c r="I97" s="22">
        <v>0.41</v>
      </c>
      <c r="J97" s="22">
        <v>6.14</v>
      </c>
      <c r="K97" s="22">
        <v>6.8</v>
      </c>
      <c r="L97" s="22">
        <v>0.03</v>
      </c>
    </row>
    <row r="98" spans="1:12" ht="15.6" x14ac:dyDescent="0.3">
      <c r="A98" s="18">
        <v>2</v>
      </c>
      <c r="B98" s="21" t="s">
        <v>479</v>
      </c>
      <c r="C98" s="22">
        <v>1800</v>
      </c>
      <c r="D98" s="22">
        <v>0.84</v>
      </c>
      <c r="E98" s="22">
        <v>0.35</v>
      </c>
      <c r="F98" s="22">
        <v>2</v>
      </c>
      <c r="G98" s="22">
        <v>3</v>
      </c>
      <c r="H98" s="23">
        <v>0.47</v>
      </c>
      <c r="I98" s="22">
        <v>0.52</v>
      </c>
      <c r="J98" s="22">
        <v>7.55</v>
      </c>
      <c r="K98" s="22">
        <v>8.1199999999999992</v>
      </c>
      <c r="L98" s="22">
        <v>0.03</v>
      </c>
    </row>
    <row r="99" spans="1:12" ht="15.6" x14ac:dyDescent="0.3">
      <c r="A99" s="18">
        <v>6</v>
      </c>
      <c r="B99" s="21" t="s">
        <v>480</v>
      </c>
      <c r="C99" s="22">
        <v>2100</v>
      </c>
      <c r="D99" s="22">
        <v>1.68</v>
      </c>
      <c r="E99" s="22">
        <v>1.05</v>
      </c>
      <c r="F99" s="22">
        <v>0</v>
      </c>
      <c r="G99" s="22">
        <v>0</v>
      </c>
      <c r="H99" s="23">
        <v>1.05</v>
      </c>
      <c r="I99" s="22">
        <v>1.05</v>
      </c>
      <c r="J99" s="22">
        <v>16.43</v>
      </c>
      <c r="K99" s="22">
        <v>16.43</v>
      </c>
      <c r="L99" s="22">
        <v>8.0000000000000002E-3</v>
      </c>
    </row>
    <row r="100" spans="1:12" ht="17.399999999999999" x14ac:dyDescent="0.3">
      <c r="B100" s="58" t="s">
        <v>212</v>
      </c>
      <c r="C100" s="10"/>
      <c r="D100" s="10"/>
      <c r="E100" s="10"/>
      <c r="F100" s="10"/>
      <c r="G100" s="10"/>
      <c r="H100" s="23">
        <v>1</v>
      </c>
      <c r="I100" s="22">
        <v>1</v>
      </c>
      <c r="J100" s="10"/>
      <c r="K100" s="10"/>
      <c r="L100" s="10"/>
    </row>
    <row r="101" spans="1:12" ht="15.6" x14ac:dyDescent="0.3">
      <c r="A101" s="18">
        <v>1</v>
      </c>
      <c r="B101" s="21" t="s">
        <v>146</v>
      </c>
      <c r="C101" s="22">
        <v>7850</v>
      </c>
      <c r="D101" s="22">
        <v>0.48199999999999998</v>
      </c>
      <c r="E101" s="22">
        <v>58</v>
      </c>
      <c r="F101" s="22">
        <v>0</v>
      </c>
      <c r="G101" s="22">
        <v>0</v>
      </c>
      <c r="H101" s="23">
        <v>58</v>
      </c>
      <c r="I101" s="22">
        <v>58</v>
      </c>
      <c r="J101" s="22">
        <v>126.5</v>
      </c>
      <c r="K101" s="22">
        <v>126.5</v>
      </c>
      <c r="L101" s="22">
        <v>0</v>
      </c>
    </row>
    <row r="102" spans="1:12" ht="15.6" x14ac:dyDescent="0.3">
      <c r="A102" s="18">
        <v>2</v>
      </c>
      <c r="B102" s="21" t="s">
        <v>147</v>
      </c>
      <c r="C102" s="22">
        <v>7200</v>
      </c>
      <c r="D102" s="22">
        <v>0.48199999999999998</v>
      </c>
      <c r="E102" s="22">
        <v>50</v>
      </c>
      <c r="F102" s="22">
        <v>0</v>
      </c>
      <c r="G102" s="22">
        <v>0</v>
      </c>
      <c r="H102" s="23">
        <v>50</v>
      </c>
      <c r="I102" s="22">
        <v>50</v>
      </c>
      <c r="J102" s="22">
        <v>112.5</v>
      </c>
      <c r="K102" s="22">
        <v>112.5</v>
      </c>
      <c r="L102" s="22">
        <v>0</v>
      </c>
    </row>
    <row r="103" spans="1:12" ht="15.6" x14ac:dyDescent="0.3">
      <c r="A103" s="18">
        <v>3</v>
      </c>
      <c r="B103" s="21" t="s">
        <v>148</v>
      </c>
      <c r="C103" s="22">
        <v>2600</v>
      </c>
      <c r="D103" s="22">
        <v>0.84</v>
      </c>
      <c r="E103" s="22">
        <v>221</v>
      </c>
      <c r="F103" s="22">
        <v>0</v>
      </c>
      <c r="G103" s="22">
        <v>0</v>
      </c>
      <c r="H103" s="23">
        <v>221</v>
      </c>
      <c r="I103" s="22">
        <v>221</v>
      </c>
      <c r="J103" s="22">
        <v>187.6</v>
      </c>
      <c r="K103" s="22">
        <v>187.6</v>
      </c>
      <c r="L103" s="22">
        <v>0</v>
      </c>
    </row>
    <row r="104" spans="1:12" ht="15.6" x14ac:dyDescent="0.3">
      <c r="A104" s="18">
        <v>4</v>
      </c>
      <c r="B104" s="21" t="s">
        <v>149</v>
      </c>
      <c r="C104" s="22">
        <v>8500</v>
      </c>
      <c r="D104" s="22">
        <v>0.42</v>
      </c>
      <c r="E104" s="22">
        <v>407</v>
      </c>
      <c r="F104" s="22">
        <v>0</v>
      </c>
      <c r="G104" s="22">
        <v>0</v>
      </c>
      <c r="H104" s="23">
        <v>407</v>
      </c>
      <c r="I104" s="22">
        <v>407</v>
      </c>
      <c r="J104" s="22">
        <v>326</v>
      </c>
      <c r="K104" s="22">
        <v>326</v>
      </c>
      <c r="L104" s="22">
        <v>0</v>
      </c>
    </row>
    <row r="105" spans="1:12" ht="15.6" x14ac:dyDescent="0.3">
      <c r="A105" s="18">
        <v>6</v>
      </c>
      <c r="B105" s="49" t="s">
        <v>197</v>
      </c>
      <c r="C105" s="10"/>
      <c r="D105" s="10"/>
      <c r="E105" s="10"/>
      <c r="F105" s="10"/>
      <c r="G105" s="10"/>
      <c r="H105" s="23">
        <v>1</v>
      </c>
      <c r="I105" s="22">
        <v>1</v>
      </c>
      <c r="J105" s="22"/>
      <c r="K105" s="22"/>
      <c r="L105" s="22">
        <v>1</v>
      </c>
    </row>
    <row r="106" spans="1:12" ht="15.6" x14ac:dyDescent="0.3">
      <c r="B106" s="56">
        <v>100</v>
      </c>
      <c r="H106" s="26"/>
      <c r="I106" s="24"/>
      <c r="J106" s="24"/>
      <c r="K106" s="24"/>
      <c r="L106" s="24"/>
    </row>
    <row r="107" spans="1:12" x14ac:dyDescent="0.3">
      <c r="B107" s="57">
        <v>88</v>
      </c>
    </row>
    <row r="109" spans="1:12" x14ac:dyDescent="0.3">
      <c r="B109" s="59" t="str">
        <f t="shared" ref="B109:L109" si="0">INDEX(B6:B105,$B$106)</f>
        <v>Немає</v>
      </c>
      <c r="C109" s="10">
        <f t="shared" si="0"/>
        <v>0</v>
      </c>
      <c r="D109" s="59">
        <f t="shared" si="0"/>
        <v>0</v>
      </c>
      <c r="E109" s="59">
        <f t="shared" si="0"/>
        <v>0</v>
      </c>
      <c r="F109" s="59">
        <f t="shared" si="0"/>
        <v>0</v>
      </c>
      <c r="G109" s="59">
        <f t="shared" si="0"/>
        <v>0</v>
      </c>
      <c r="H109" s="59">
        <f t="shared" si="0"/>
        <v>1</v>
      </c>
      <c r="I109" s="60">
        <f t="shared" si="0"/>
        <v>1</v>
      </c>
      <c r="J109" s="59">
        <f t="shared" si="0"/>
        <v>0</v>
      </c>
      <c r="K109" s="59">
        <f t="shared" si="0"/>
        <v>0</v>
      </c>
      <c r="L109" s="59">
        <f t="shared" si="0"/>
        <v>1</v>
      </c>
    </row>
    <row r="110" spans="1:12" x14ac:dyDescent="0.3">
      <c r="B110" s="59" t="str">
        <f t="shared" ref="B110:L110" si="1">INDEX(B6:B105,$B$107)</f>
        <v>Розчин цементно-піщаний</v>
      </c>
      <c r="C110" s="60">
        <f t="shared" si="1"/>
        <v>1600</v>
      </c>
      <c r="D110" s="59">
        <f t="shared" si="1"/>
        <v>0.84</v>
      </c>
      <c r="E110" s="59">
        <f t="shared" si="1"/>
        <v>0.47</v>
      </c>
      <c r="F110" s="59">
        <f t="shared" si="1"/>
        <v>2</v>
      </c>
      <c r="G110" s="59">
        <f t="shared" si="1"/>
        <v>4</v>
      </c>
      <c r="H110" s="59">
        <f t="shared" si="1"/>
        <v>0.7</v>
      </c>
      <c r="I110" s="60">
        <f t="shared" si="1"/>
        <v>0.81</v>
      </c>
      <c r="J110" s="59">
        <f t="shared" si="1"/>
        <v>8.69</v>
      </c>
      <c r="K110" s="59">
        <f t="shared" si="1"/>
        <v>9.76</v>
      </c>
      <c r="L110" s="59">
        <f t="shared" si="1"/>
        <v>0.12</v>
      </c>
    </row>
  </sheetData>
  <mergeCells count="6">
    <mergeCell ref="B2:B3"/>
    <mergeCell ref="C2:E2"/>
    <mergeCell ref="F2:G3"/>
    <mergeCell ref="H2:L2"/>
    <mergeCell ref="H3:I3"/>
    <mergeCell ref="J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2:L25"/>
  <sheetViews>
    <sheetView zoomScale="85" zoomScaleNormal="85" workbookViewId="0">
      <selection activeCell="I31" sqref="I31"/>
    </sheetView>
  </sheetViews>
  <sheetFormatPr defaultColWidth="9.109375" defaultRowHeight="14.4" x14ac:dyDescent="0.3"/>
  <cols>
    <col min="1" max="1" width="9.109375" style="9"/>
    <col min="2" max="2" width="131.44140625" style="25" customWidth="1"/>
    <col min="3" max="16384" width="9.109375" style="9"/>
  </cols>
  <sheetData>
    <row r="2" spans="1:12" ht="15" customHeight="1" x14ac:dyDescent="0.3">
      <c r="B2" s="86" t="s">
        <v>39</v>
      </c>
      <c r="C2" s="88" t="s">
        <v>40</v>
      </c>
      <c r="D2" s="88"/>
      <c r="E2" s="88"/>
      <c r="F2" s="88" t="s">
        <v>41</v>
      </c>
      <c r="G2" s="88"/>
      <c r="H2" s="88" t="s">
        <v>42</v>
      </c>
      <c r="I2" s="88"/>
      <c r="J2" s="88"/>
      <c r="K2" s="88"/>
      <c r="L2" s="88"/>
    </row>
    <row r="3" spans="1:12" ht="25.5" customHeight="1" x14ac:dyDescent="0.3">
      <c r="B3" s="87"/>
      <c r="C3" s="11" t="s">
        <v>43</v>
      </c>
      <c r="D3" s="11" t="s">
        <v>44</v>
      </c>
      <c r="E3" s="11" t="s">
        <v>45</v>
      </c>
      <c r="F3" s="88"/>
      <c r="G3" s="88"/>
      <c r="H3" s="88" t="s">
        <v>46</v>
      </c>
      <c r="I3" s="88"/>
      <c r="J3" s="88" t="s">
        <v>47</v>
      </c>
      <c r="K3" s="88"/>
      <c r="L3" s="11" t="s">
        <v>48</v>
      </c>
    </row>
    <row r="4" spans="1:12" ht="15.6" x14ac:dyDescent="0.25">
      <c r="B4" s="12"/>
      <c r="C4" s="13"/>
      <c r="D4" s="13"/>
      <c r="E4" s="13"/>
      <c r="F4" s="14" t="s">
        <v>49</v>
      </c>
      <c r="G4" s="14" t="s">
        <v>50</v>
      </c>
      <c r="H4" s="15" t="s">
        <v>49</v>
      </c>
      <c r="I4" s="14" t="s">
        <v>50</v>
      </c>
      <c r="J4" s="14" t="s">
        <v>49</v>
      </c>
      <c r="K4" s="14" t="s">
        <v>50</v>
      </c>
      <c r="L4" s="14" t="s">
        <v>51</v>
      </c>
    </row>
    <row r="5" spans="1:12" x14ac:dyDescent="0.3">
      <c r="B5" s="16">
        <v>1</v>
      </c>
      <c r="C5" s="16">
        <v>2</v>
      </c>
      <c r="D5" s="16">
        <v>4</v>
      </c>
      <c r="E5" s="16">
        <v>5</v>
      </c>
      <c r="F5" s="16">
        <v>6</v>
      </c>
      <c r="G5" s="16">
        <v>7</v>
      </c>
      <c r="H5" s="17">
        <v>8</v>
      </c>
      <c r="I5" s="16">
        <v>9</v>
      </c>
      <c r="J5" s="16">
        <v>10</v>
      </c>
      <c r="K5" s="16">
        <v>11</v>
      </c>
      <c r="L5" s="16">
        <v>12</v>
      </c>
    </row>
    <row r="6" spans="1:12" ht="17.399999999999999" x14ac:dyDescent="0.3">
      <c r="B6" s="58" t="s">
        <v>238</v>
      </c>
      <c r="C6" s="10"/>
      <c r="D6" s="10"/>
      <c r="E6" s="10"/>
      <c r="F6" s="10"/>
      <c r="G6" s="10"/>
      <c r="H6" s="23">
        <v>1</v>
      </c>
      <c r="I6" s="22">
        <v>1</v>
      </c>
      <c r="J6" s="10"/>
      <c r="K6" s="10"/>
      <c r="L6" s="10"/>
    </row>
    <row r="7" spans="1:12" ht="15.6" x14ac:dyDescent="0.3">
      <c r="A7" s="18">
        <v>1</v>
      </c>
      <c r="B7" s="21" t="s">
        <v>478</v>
      </c>
      <c r="C7" s="22">
        <v>1600</v>
      </c>
      <c r="D7" s="22">
        <v>0.84</v>
      </c>
      <c r="E7" s="22">
        <v>0.23</v>
      </c>
      <c r="F7" s="22">
        <v>2</v>
      </c>
      <c r="G7" s="22">
        <v>3</v>
      </c>
      <c r="H7" s="23">
        <v>0.35</v>
      </c>
      <c r="I7" s="22">
        <v>0.41</v>
      </c>
      <c r="J7" s="22">
        <v>6.14</v>
      </c>
      <c r="K7" s="22">
        <v>6.8</v>
      </c>
      <c r="L7" s="22">
        <v>0.03</v>
      </c>
    </row>
    <row r="8" spans="1:12" ht="15.6" x14ac:dyDescent="0.3">
      <c r="A8" s="18">
        <v>2</v>
      </c>
      <c r="B8" s="21" t="s">
        <v>479</v>
      </c>
      <c r="C8" s="22">
        <v>1800</v>
      </c>
      <c r="D8" s="22">
        <v>0.84</v>
      </c>
      <c r="E8" s="22">
        <v>0.35</v>
      </c>
      <c r="F8" s="22">
        <v>2</v>
      </c>
      <c r="G8" s="22">
        <v>3</v>
      </c>
      <c r="H8" s="23">
        <v>0.47</v>
      </c>
      <c r="I8" s="22">
        <v>0.52</v>
      </c>
      <c r="J8" s="22">
        <v>7.55</v>
      </c>
      <c r="K8" s="22">
        <v>8.1199999999999992</v>
      </c>
      <c r="L8" s="22">
        <v>0.03</v>
      </c>
    </row>
    <row r="9" spans="1:12" ht="15.6" x14ac:dyDescent="0.3">
      <c r="A9" s="18">
        <v>3</v>
      </c>
      <c r="B9" s="21" t="s">
        <v>483</v>
      </c>
      <c r="C9" s="22">
        <v>1000</v>
      </c>
      <c r="D9" s="22">
        <v>1.68</v>
      </c>
      <c r="E9" s="22">
        <v>0.17</v>
      </c>
      <c r="F9" s="22">
        <v>0</v>
      </c>
      <c r="G9" s="22">
        <v>0</v>
      </c>
      <c r="H9" s="23">
        <v>0.17</v>
      </c>
      <c r="I9" s="22">
        <v>0.17</v>
      </c>
      <c r="J9" s="22">
        <v>4.5599999999999996</v>
      </c>
      <c r="K9" s="22">
        <v>4.5599999999999996</v>
      </c>
      <c r="L9" s="22">
        <v>8.0000000000000002E-3</v>
      </c>
    </row>
    <row r="10" spans="1:12" ht="15.6" x14ac:dyDescent="0.3">
      <c r="A10" s="18">
        <v>4</v>
      </c>
      <c r="B10" s="21" t="s">
        <v>484</v>
      </c>
      <c r="C10" s="22">
        <v>1200</v>
      </c>
      <c r="D10" s="22">
        <v>1.68</v>
      </c>
      <c r="E10" s="22">
        <v>0.22</v>
      </c>
      <c r="F10" s="22">
        <v>0</v>
      </c>
      <c r="G10" s="22">
        <v>0</v>
      </c>
      <c r="H10" s="23">
        <v>0.22</v>
      </c>
      <c r="I10" s="22">
        <v>0.22</v>
      </c>
      <c r="J10" s="22">
        <v>5.69</v>
      </c>
      <c r="K10" s="22">
        <v>5.69</v>
      </c>
      <c r="L10" s="22">
        <v>8.0000000000000002E-3</v>
      </c>
    </row>
    <row r="11" spans="1:12" ht="15.6" x14ac:dyDescent="0.3">
      <c r="A11" s="18">
        <v>5</v>
      </c>
      <c r="B11" s="21" t="s">
        <v>485</v>
      </c>
      <c r="C11" s="22">
        <v>1400</v>
      </c>
      <c r="D11" s="22">
        <v>1.68</v>
      </c>
      <c r="E11" s="22">
        <v>0.27</v>
      </c>
      <c r="F11" s="22">
        <v>0</v>
      </c>
      <c r="G11" s="22">
        <v>0</v>
      </c>
      <c r="H11" s="23">
        <v>0.27</v>
      </c>
      <c r="I11" s="22">
        <v>0.27</v>
      </c>
      <c r="J11" s="22">
        <v>6.8</v>
      </c>
      <c r="K11" s="22">
        <v>6.8</v>
      </c>
      <c r="L11" s="22">
        <v>8.0000000000000002E-3</v>
      </c>
    </row>
    <row r="12" spans="1:12" ht="15.6" x14ac:dyDescent="0.3">
      <c r="A12" s="18">
        <v>6</v>
      </c>
      <c r="B12" s="21" t="s">
        <v>480</v>
      </c>
      <c r="C12" s="22">
        <v>2100</v>
      </c>
      <c r="D12" s="22">
        <v>1.68</v>
      </c>
      <c r="E12" s="22">
        <v>1.05</v>
      </c>
      <c r="F12" s="22">
        <v>0</v>
      </c>
      <c r="G12" s="22">
        <v>0</v>
      </c>
      <c r="H12" s="23">
        <v>1.05</v>
      </c>
      <c r="I12" s="22">
        <v>1.05</v>
      </c>
      <c r="J12" s="22">
        <v>16.43</v>
      </c>
      <c r="K12" s="22">
        <v>16.43</v>
      </c>
      <c r="L12" s="22">
        <v>8.0000000000000002E-3</v>
      </c>
    </row>
    <row r="13" spans="1:12" ht="15.6" x14ac:dyDescent="0.3">
      <c r="A13" s="18">
        <v>7</v>
      </c>
      <c r="B13" s="21" t="s">
        <v>486</v>
      </c>
      <c r="C13" s="22">
        <v>600</v>
      </c>
      <c r="D13" s="22">
        <v>1.68</v>
      </c>
      <c r="E13" s="22">
        <v>0.17</v>
      </c>
      <c r="F13" s="22">
        <v>0</v>
      </c>
      <c r="G13" s="22">
        <v>0</v>
      </c>
      <c r="H13" s="23">
        <v>0.17</v>
      </c>
      <c r="I13" s="22">
        <v>0.17</v>
      </c>
      <c r="J13" s="22">
        <v>3.53</v>
      </c>
      <c r="K13" s="22">
        <v>3.53</v>
      </c>
      <c r="L13" s="22" t="s">
        <v>451</v>
      </c>
    </row>
    <row r="14" spans="1:12" ht="16.2" thickBot="1" x14ac:dyDescent="0.35">
      <c r="A14" s="18">
        <v>8</v>
      </c>
      <c r="B14" s="21" t="s">
        <v>510</v>
      </c>
      <c r="C14" s="22">
        <v>1000</v>
      </c>
      <c r="D14" s="22">
        <v>1.47</v>
      </c>
      <c r="E14" s="22">
        <v>0.33</v>
      </c>
      <c r="F14" s="22">
        <v>0</v>
      </c>
      <c r="G14" s="22">
        <v>0</v>
      </c>
      <c r="H14" s="23">
        <v>0.23</v>
      </c>
      <c r="I14" s="22">
        <v>0.23</v>
      </c>
      <c r="J14" s="22">
        <v>5.87</v>
      </c>
      <c r="K14" s="22">
        <v>5.87</v>
      </c>
      <c r="L14" s="22">
        <v>1.1E-4</v>
      </c>
    </row>
    <row r="15" spans="1:12" ht="16.2" thickBot="1" x14ac:dyDescent="0.35">
      <c r="A15" s="18">
        <v>9</v>
      </c>
      <c r="B15" s="69" t="s">
        <v>511</v>
      </c>
      <c r="C15" s="70">
        <v>1600</v>
      </c>
      <c r="D15" s="71">
        <v>1.47</v>
      </c>
      <c r="E15" s="72">
        <v>0.3</v>
      </c>
      <c r="F15" s="72">
        <v>0</v>
      </c>
      <c r="G15" s="72">
        <v>0</v>
      </c>
      <c r="H15" s="72">
        <v>0.3</v>
      </c>
      <c r="I15" s="72">
        <v>0.3</v>
      </c>
      <c r="J15" s="72">
        <v>8.56</v>
      </c>
      <c r="K15" s="72">
        <v>8.56</v>
      </c>
      <c r="L15" s="72">
        <v>0</v>
      </c>
    </row>
    <row r="16" spans="1:12" ht="15.6" x14ac:dyDescent="0.3">
      <c r="A16" s="18">
        <v>10</v>
      </c>
      <c r="B16" s="21" t="s">
        <v>487</v>
      </c>
      <c r="C16" s="22">
        <v>1400</v>
      </c>
      <c r="D16" s="22">
        <v>1.47</v>
      </c>
      <c r="E16" s="22">
        <v>0.23</v>
      </c>
      <c r="F16" s="22">
        <v>0</v>
      </c>
      <c r="G16" s="22">
        <v>0</v>
      </c>
      <c r="H16" s="23">
        <v>0.23</v>
      </c>
      <c r="I16" s="22">
        <v>0.23</v>
      </c>
      <c r="J16" s="22">
        <v>5.87</v>
      </c>
      <c r="K16" s="22">
        <v>5.87</v>
      </c>
      <c r="L16" s="22">
        <v>2E-3</v>
      </c>
    </row>
    <row r="17" spans="1:12" ht="15.6" x14ac:dyDescent="0.3">
      <c r="A17" s="18">
        <v>11</v>
      </c>
      <c r="B17" s="21" t="s">
        <v>488</v>
      </c>
      <c r="C17" s="22">
        <v>1600</v>
      </c>
      <c r="D17" s="22">
        <v>1.47</v>
      </c>
      <c r="E17" s="22">
        <v>0.28999999999999998</v>
      </c>
      <c r="F17" s="22">
        <v>0</v>
      </c>
      <c r="G17" s="22">
        <v>0</v>
      </c>
      <c r="H17" s="23">
        <v>0.28999999999999998</v>
      </c>
      <c r="I17" s="22">
        <v>0.28999999999999998</v>
      </c>
      <c r="J17" s="22">
        <v>7.05</v>
      </c>
      <c r="K17" s="22">
        <v>7.05</v>
      </c>
      <c r="L17" s="22">
        <v>2E-3</v>
      </c>
    </row>
    <row r="18" spans="1:12" ht="15.6" x14ac:dyDescent="0.3">
      <c r="A18" s="18">
        <v>12</v>
      </c>
      <c r="B18" s="21" t="s">
        <v>489</v>
      </c>
      <c r="C18" s="22">
        <v>800</v>
      </c>
      <c r="D18" s="22">
        <v>1.47</v>
      </c>
      <c r="E18" s="22">
        <v>0.17</v>
      </c>
      <c r="F18" s="22">
        <v>0</v>
      </c>
      <c r="G18" s="22">
        <v>0</v>
      </c>
      <c r="H18" s="23">
        <v>0.17</v>
      </c>
      <c r="I18" s="22">
        <v>0.17</v>
      </c>
      <c r="J18" s="22">
        <v>3.32</v>
      </c>
      <c r="K18" s="22">
        <v>3.32</v>
      </c>
      <c r="L18" s="22">
        <v>2E-3</v>
      </c>
    </row>
    <row r="19" spans="1:12" ht="15.6" x14ac:dyDescent="0.3">
      <c r="A19" s="18">
        <v>13</v>
      </c>
      <c r="B19" s="21" t="s">
        <v>490</v>
      </c>
      <c r="C19" s="22">
        <v>1200</v>
      </c>
      <c r="D19" s="22">
        <v>1.47</v>
      </c>
      <c r="E19" s="22">
        <v>0.21</v>
      </c>
      <c r="F19" s="22">
        <v>0</v>
      </c>
      <c r="G19" s="22">
        <v>0</v>
      </c>
      <c r="H19" s="23">
        <v>0.21</v>
      </c>
      <c r="I19" s="22">
        <v>0.21</v>
      </c>
      <c r="J19" s="22">
        <v>4.51</v>
      </c>
      <c r="K19" s="22">
        <v>4.51</v>
      </c>
      <c r="L19" s="22">
        <v>0.02</v>
      </c>
    </row>
    <row r="20" spans="1:12" ht="15.6" x14ac:dyDescent="0.3">
      <c r="A20" s="18">
        <v>14</v>
      </c>
      <c r="B20" s="21" t="s">
        <v>197</v>
      </c>
      <c r="C20" s="22"/>
      <c r="D20" s="22"/>
      <c r="E20" s="22"/>
      <c r="F20" s="22"/>
      <c r="G20" s="22"/>
      <c r="H20" s="23">
        <v>1</v>
      </c>
      <c r="I20" s="22">
        <v>1</v>
      </c>
      <c r="J20" s="22"/>
      <c r="K20" s="22"/>
      <c r="L20" s="22">
        <v>1</v>
      </c>
    </row>
    <row r="21" spans="1:12" ht="15.6" x14ac:dyDescent="0.3">
      <c r="B21" s="56">
        <v>10</v>
      </c>
      <c r="H21" s="26"/>
      <c r="I21" s="24"/>
      <c r="J21" s="24"/>
      <c r="K21" s="24"/>
      <c r="L21" s="24"/>
    </row>
    <row r="22" spans="1:12" x14ac:dyDescent="0.3">
      <c r="B22" s="57">
        <v>9</v>
      </c>
    </row>
    <row r="24" spans="1:12" x14ac:dyDescent="0.3">
      <c r="B24" s="59" t="str">
        <f>INDEX(B6:B20,$B$21)</f>
        <v>Пароізоляційна плівка</v>
      </c>
      <c r="C24" s="60">
        <f t="shared" ref="C24:L24" si="0">INDEX(C6:C20,$B$21)</f>
        <v>1600</v>
      </c>
      <c r="D24" s="59">
        <f t="shared" si="0"/>
        <v>1.47</v>
      </c>
      <c r="E24" s="59">
        <f t="shared" si="0"/>
        <v>0.3</v>
      </c>
      <c r="F24" s="59">
        <f t="shared" si="0"/>
        <v>0</v>
      </c>
      <c r="G24" s="59">
        <f t="shared" si="0"/>
        <v>0</v>
      </c>
      <c r="H24" s="59">
        <f t="shared" si="0"/>
        <v>0.3</v>
      </c>
      <c r="I24" s="60">
        <f t="shared" si="0"/>
        <v>0.3</v>
      </c>
      <c r="J24" s="59">
        <f t="shared" si="0"/>
        <v>8.56</v>
      </c>
      <c r="K24" s="59">
        <f t="shared" si="0"/>
        <v>8.56</v>
      </c>
      <c r="L24" s="59">
        <f t="shared" si="0"/>
        <v>0</v>
      </c>
    </row>
    <row r="25" spans="1:12" x14ac:dyDescent="0.3">
      <c r="B25" s="59" t="str">
        <f>INDEX(B6:B20,$B$22)</f>
        <v>Мембрана ПВХ</v>
      </c>
      <c r="C25" s="60">
        <f t="shared" ref="C25:L25" si="1">INDEX(C6:C20,$B$22)</f>
        <v>1000</v>
      </c>
      <c r="D25" s="59">
        <f t="shared" si="1"/>
        <v>1.47</v>
      </c>
      <c r="E25" s="59">
        <f t="shared" si="1"/>
        <v>0.33</v>
      </c>
      <c r="F25" s="59">
        <f t="shared" si="1"/>
        <v>0</v>
      </c>
      <c r="G25" s="59">
        <f t="shared" si="1"/>
        <v>0</v>
      </c>
      <c r="H25" s="59">
        <f t="shared" si="1"/>
        <v>0.23</v>
      </c>
      <c r="I25" s="60">
        <f t="shared" si="1"/>
        <v>0.23</v>
      </c>
      <c r="J25" s="59">
        <f t="shared" si="1"/>
        <v>5.87</v>
      </c>
      <c r="K25" s="59">
        <f t="shared" si="1"/>
        <v>5.87</v>
      </c>
      <c r="L25" s="59">
        <f t="shared" si="1"/>
        <v>1.1E-4</v>
      </c>
    </row>
  </sheetData>
  <mergeCells count="6">
    <mergeCell ref="B2:B3"/>
    <mergeCell ref="C2:E2"/>
    <mergeCell ref="F2:G3"/>
    <mergeCell ref="H2:L2"/>
    <mergeCell ref="H3:I3"/>
    <mergeCell ref="J3:K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2:E24"/>
  <sheetViews>
    <sheetView topLeftCell="A2" zoomScale="85" zoomScaleNormal="85" workbookViewId="0">
      <selection activeCell="G3" sqref="G3"/>
    </sheetView>
  </sheetViews>
  <sheetFormatPr defaultColWidth="9.109375" defaultRowHeight="14.4" x14ac:dyDescent="0.3"/>
  <cols>
    <col min="1" max="1" width="9.109375" style="9"/>
    <col min="2" max="2" width="138.33203125" style="25" customWidth="1"/>
    <col min="3" max="16384" width="9.109375" style="9"/>
  </cols>
  <sheetData>
    <row r="2" spans="1:5" ht="15" customHeight="1" x14ac:dyDescent="0.3">
      <c r="B2" s="86" t="s">
        <v>39</v>
      </c>
      <c r="C2" s="11" t="s">
        <v>40</v>
      </c>
      <c r="D2" s="88" t="s">
        <v>42</v>
      </c>
      <c r="E2" s="88"/>
    </row>
    <row r="3" spans="1:5" ht="25.5" customHeight="1" x14ac:dyDescent="0.3">
      <c r="B3" s="87"/>
      <c r="C3" s="11" t="s">
        <v>43</v>
      </c>
      <c r="D3" s="88" t="s">
        <v>46</v>
      </c>
      <c r="E3" s="88"/>
    </row>
    <row r="4" spans="1:5" ht="15.6" x14ac:dyDescent="0.25">
      <c r="B4" s="12"/>
      <c r="C4" s="13"/>
      <c r="D4" s="15" t="s">
        <v>49</v>
      </c>
      <c r="E4" s="27" t="s">
        <v>50</v>
      </c>
    </row>
    <row r="5" spans="1:5" x14ac:dyDescent="0.3">
      <c r="B5" s="16">
        <v>1</v>
      </c>
      <c r="C5" s="16">
        <v>2</v>
      </c>
      <c r="D5" s="17">
        <v>8</v>
      </c>
      <c r="E5" s="28">
        <v>9</v>
      </c>
    </row>
    <row r="6" spans="1:5" ht="15.6" x14ac:dyDescent="0.3">
      <c r="A6" s="18">
        <v>22</v>
      </c>
      <c r="B6" s="20" t="s">
        <v>514</v>
      </c>
      <c r="C6" s="18">
        <v>30</v>
      </c>
      <c r="D6" s="19">
        <v>2.3E-2</v>
      </c>
      <c r="E6" s="29">
        <v>2.3E-2</v>
      </c>
    </row>
    <row r="7" spans="1:5" ht="15.6" x14ac:dyDescent="0.3">
      <c r="A7" s="18">
        <v>23</v>
      </c>
      <c r="B7" s="20" t="s">
        <v>520</v>
      </c>
      <c r="C7" s="18" t="s">
        <v>521</v>
      </c>
      <c r="D7" s="19">
        <v>3.7499999999999999E-2</v>
      </c>
      <c r="E7" s="29">
        <v>3.7699999999999997E-2</v>
      </c>
    </row>
    <row r="8" spans="1:5" ht="15.6" x14ac:dyDescent="0.3">
      <c r="A8" s="18">
        <v>24</v>
      </c>
      <c r="B8" s="20" t="s">
        <v>519</v>
      </c>
      <c r="C8" s="18">
        <v>175</v>
      </c>
      <c r="D8" s="19">
        <v>3.7999999999999999E-2</v>
      </c>
      <c r="E8" s="29">
        <v>3.7999999999999999E-2</v>
      </c>
    </row>
    <row r="9" spans="1:5" ht="15.6" x14ac:dyDescent="0.3">
      <c r="A9" s="18">
        <v>25</v>
      </c>
      <c r="B9" s="20" t="s">
        <v>506</v>
      </c>
      <c r="C9" s="18">
        <v>100</v>
      </c>
      <c r="D9" s="19">
        <v>3.6299999999999999E-2</v>
      </c>
      <c r="E9" s="29">
        <v>3.6299999999999999E-2</v>
      </c>
    </row>
    <row r="10" spans="1:5" ht="15.6" x14ac:dyDescent="0.3">
      <c r="A10" s="18">
        <v>26</v>
      </c>
      <c r="B10" s="67" t="s">
        <v>502</v>
      </c>
      <c r="C10" s="64">
        <v>35</v>
      </c>
      <c r="D10" s="65">
        <v>3.5000000000000003E-2</v>
      </c>
      <c r="E10" s="66">
        <v>3.5000000000000003E-2</v>
      </c>
    </row>
    <row r="11" spans="1:5" ht="15.6" x14ac:dyDescent="0.3">
      <c r="B11" s="37">
        <v>2</v>
      </c>
      <c r="D11" s="26"/>
      <c r="E11" s="24"/>
    </row>
    <row r="12" spans="1:5" x14ac:dyDescent="0.3">
      <c r="B12" s="61" t="str">
        <f>INDEX(B6:B10,$B$11)</f>
        <v>Monrock Max E плити з мінеральної вати на синтетичному зв’язуючому, 220/115 кг/м³</v>
      </c>
      <c r="C12" s="61" t="str">
        <f t="shared" ref="C12:E12" si="0">INDEX(C6:C10,$B$11)</f>
        <v>220/115</v>
      </c>
      <c r="D12" s="61">
        <f t="shared" si="0"/>
        <v>3.7499999999999999E-2</v>
      </c>
      <c r="E12" s="61">
        <f t="shared" si="0"/>
        <v>3.7699999999999997E-2</v>
      </c>
    </row>
    <row r="16" spans="1:5" x14ac:dyDescent="0.3">
      <c r="B16" s="25" t="s">
        <v>529</v>
      </c>
    </row>
    <row r="17" spans="2:5" ht="15.6" x14ac:dyDescent="0.3">
      <c r="B17" s="20" t="s">
        <v>514</v>
      </c>
      <c r="C17" s="18">
        <v>30</v>
      </c>
      <c r="D17" s="19">
        <v>2.3E-2</v>
      </c>
      <c r="E17" s="29">
        <v>2.3E-2</v>
      </c>
    </row>
    <row r="18" spans="2:5" ht="15.6" x14ac:dyDescent="0.3">
      <c r="B18" s="20" t="s">
        <v>520</v>
      </c>
      <c r="C18" s="18" t="s">
        <v>521</v>
      </c>
      <c r="D18" s="19">
        <v>3.7499999999999999E-2</v>
      </c>
      <c r="E18" s="29">
        <v>3.7699999999999997E-2</v>
      </c>
    </row>
    <row r="19" spans="2:5" ht="15.6" x14ac:dyDescent="0.3">
      <c r="B19" s="20" t="s">
        <v>519</v>
      </c>
      <c r="C19" s="18">
        <v>175</v>
      </c>
      <c r="D19" s="19">
        <v>3.7999999999999999E-2</v>
      </c>
      <c r="E19" s="29">
        <v>3.7999999999999999E-2</v>
      </c>
    </row>
    <row r="20" spans="2:5" ht="15.6" x14ac:dyDescent="0.3">
      <c r="B20" s="20" t="s">
        <v>506</v>
      </c>
      <c r="C20" s="18">
        <v>100</v>
      </c>
      <c r="D20" s="19">
        <v>3.6299999999999999E-2</v>
      </c>
      <c r="E20" s="29">
        <v>3.6299999999999999E-2</v>
      </c>
    </row>
    <row r="21" spans="2:5" ht="15.6" x14ac:dyDescent="0.3">
      <c r="B21" s="67" t="s">
        <v>502</v>
      </c>
      <c r="C21" s="64">
        <v>35</v>
      </c>
      <c r="D21" s="65">
        <v>3.5000000000000003E-2</v>
      </c>
      <c r="E21" s="66">
        <v>3.5000000000000003E-2</v>
      </c>
    </row>
    <row r="22" spans="2:5" ht="15.6" x14ac:dyDescent="0.3">
      <c r="B22" s="76" t="s">
        <v>197</v>
      </c>
      <c r="C22" s="64" t="s">
        <v>530</v>
      </c>
      <c r="D22" s="65">
        <v>1</v>
      </c>
      <c r="E22" s="66">
        <v>1</v>
      </c>
    </row>
    <row r="23" spans="2:5" ht="15.6" x14ac:dyDescent="0.3">
      <c r="B23" s="37">
        <v>6</v>
      </c>
      <c r="D23" s="26"/>
      <c r="E23" s="24"/>
    </row>
    <row r="24" spans="2:5" x14ac:dyDescent="0.3">
      <c r="B24" s="61" t="str">
        <f>INDEX(B17:B22,$B$23)</f>
        <v>Немає</v>
      </c>
      <c r="C24" s="61" t="str">
        <f>INDEX(C17:C22,$B$23)</f>
        <v xml:space="preserve"> - </v>
      </c>
      <c r="D24" s="61">
        <f>INDEX(D17:D22,$B$23)</f>
        <v>1</v>
      </c>
      <c r="E24" s="61">
        <f>INDEX(E17:E22,$B$23)</f>
        <v>1</v>
      </c>
    </row>
  </sheetData>
  <mergeCells count="3">
    <mergeCell ref="D3:E3"/>
    <mergeCell ref="B2:B3"/>
    <mergeCell ref="D2:E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2:L111"/>
  <sheetViews>
    <sheetView zoomScale="85" zoomScaleNormal="85" workbookViewId="0">
      <selection activeCell="K43" sqref="K43"/>
    </sheetView>
  </sheetViews>
  <sheetFormatPr defaultColWidth="9.109375" defaultRowHeight="14.4" x14ac:dyDescent="0.3"/>
  <cols>
    <col min="1" max="1" width="9.109375" style="9"/>
    <col min="2" max="2" width="131.44140625" style="25" customWidth="1"/>
    <col min="3" max="16384" width="9.109375" style="9"/>
  </cols>
  <sheetData>
    <row r="2" spans="1:12" ht="15" customHeight="1" x14ac:dyDescent="0.3">
      <c r="B2" s="86" t="s">
        <v>39</v>
      </c>
      <c r="C2" s="88" t="s">
        <v>40</v>
      </c>
      <c r="D2" s="88"/>
      <c r="E2" s="88"/>
      <c r="F2" s="88" t="s">
        <v>41</v>
      </c>
      <c r="G2" s="88"/>
      <c r="H2" s="88" t="s">
        <v>42</v>
      </c>
      <c r="I2" s="88"/>
      <c r="J2" s="88"/>
      <c r="K2" s="88"/>
      <c r="L2" s="88"/>
    </row>
    <row r="3" spans="1:12" ht="25.5" customHeight="1" x14ac:dyDescent="0.3">
      <c r="B3" s="87"/>
      <c r="C3" s="11" t="s">
        <v>43</v>
      </c>
      <c r="D3" s="11" t="s">
        <v>44</v>
      </c>
      <c r="E3" s="11" t="s">
        <v>45</v>
      </c>
      <c r="F3" s="88"/>
      <c r="G3" s="88"/>
      <c r="H3" s="88" t="s">
        <v>46</v>
      </c>
      <c r="I3" s="88"/>
      <c r="J3" s="88" t="s">
        <v>47</v>
      </c>
      <c r="K3" s="88"/>
      <c r="L3" s="11" t="s">
        <v>48</v>
      </c>
    </row>
    <row r="4" spans="1:12" ht="15.6" x14ac:dyDescent="0.25">
      <c r="B4" s="12"/>
      <c r="C4" s="13"/>
      <c r="D4" s="13"/>
      <c r="E4" s="13"/>
      <c r="F4" s="14" t="s">
        <v>49</v>
      </c>
      <c r="G4" s="14" t="s">
        <v>50</v>
      </c>
      <c r="H4" s="15" t="s">
        <v>49</v>
      </c>
      <c r="I4" s="14" t="s">
        <v>50</v>
      </c>
      <c r="J4" s="14" t="s">
        <v>49</v>
      </c>
      <c r="K4" s="14" t="s">
        <v>50</v>
      </c>
      <c r="L4" s="14" t="s">
        <v>51</v>
      </c>
    </row>
    <row r="5" spans="1:12" x14ac:dyDescent="0.3">
      <c r="B5" s="16">
        <v>1</v>
      </c>
      <c r="C5" s="16">
        <v>2</v>
      </c>
      <c r="D5" s="16">
        <v>4</v>
      </c>
      <c r="E5" s="16">
        <v>5</v>
      </c>
      <c r="F5" s="16">
        <v>6</v>
      </c>
      <c r="G5" s="16">
        <v>7</v>
      </c>
      <c r="H5" s="17">
        <v>8</v>
      </c>
      <c r="I5" s="16">
        <v>9</v>
      </c>
      <c r="J5" s="16">
        <v>10</v>
      </c>
      <c r="K5" s="16">
        <v>11</v>
      </c>
      <c r="L5" s="16">
        <v>12</v>
      </c>
    </row>
    <row r="6" spans="1:12" ht="17.399999999999999" x14ac:dyDescent="0.3">
      <c r="B6" s="43" t="s">
        <v>199</v>
      </c>
      <c r="C6" s="10"/>
      <c r="D6" s="10"/>
      <c r="E6" s="10"/>
      <c r="F6" s="10"/>
      <c r="G6" s="10"/>
      <c r="H6" s="23">
        <v>1</v>
      </c>
      <c r="I6" s="22">
        <v>1</v>
      </c>
      <c r="J6" s="10"/>
      <c r="K6" s="10"/>
      <c r="L6" s="10"/>
    </row>
    <row r="7" spans="1:12" ht="15.6" x14ac:dyDescent="0.3">
      <c r="A7" s="18">
        <v>1</v>
      </c>
      <c r="B7" s="21" t="s">
        <v>513</v>
      </c>
      <c r="C7" s="22">
        <v>200</v>
      </c>
      <c r="D7" s="22">
        <v>0.84</v>
      </c>
      <c r="E7" s="22">
        <v>6.5000000000000002E-2</v>
      </c>
      <c r="F7" s="22">
        <v>4</v>
      </c>
      <c r="G7" s="22">
        <v>6</v>
      </c>
      <c r="H7" s="23">
        <v>6.9000000000000006E-2</v>
      </c>
      <c r="I7" s="22">
        <v>0.4</v>
      </c>
      <c r="J7" s="22">
        <v>1.01</v>
      </c>
      <c r="K7" s="22">
        <v>0.4</v>
      </c>
      <c r="L7" s="22">
        <v>0.28000000000000003</v>
      </c>
    </row>
    <row r="8" spans="1:12" ht="15.6" x14ac:dyDescent="0.3">
      <c r="A8" s="18">
        <v>2</v>
      </c>
      <c r="B8" s="21" t="s">
        <v>151</v>
      </c>
      <c r="C8" s="22">
        <v>300</v>
      </c>
      <c r="D8" s="22">
        <v>0.84</v>
      </c>
      <c r="E8" s="22">
        <v>0.08</v>
      </c>
      <c r="F8" s="22">
        <v>4</v>
      </c>
      <c r="G8" s="22">
        <v>6</v>
      </c>
      <c r="H8" s="23">
        <v>0.09</v>
      </c>
      <c r="I8" s="22">
        <v>0.1</v>
      </c>
      <c r="J8" s="22">
        <v>1.41</v>
      </c>
      <c r="K8" s="22">
        <v>1.48</v>
      </c>
      <c r="L8" s="22">
        <v>0.26</v>
      </c>
    </row>
    <row r="9" spans="1:12" ht="15.6" x14ac:dyDescent="0.3">
      <c r="A9" s="18">
        <v>3</v>
      </c>
      <c r="B9" s="21" t="s">
        <v>152</v>
      </c>
      <c r="C9" s="22">
        <v>400</v>
      </c>
      <c r="D9" s="22">
        <v>0.84</v>
      </c>
      <c r="E9" s="22">
        <v>0.1</v>
      </c>
      <c r="F9" s="22">
        <v>4</v>
      </c>
      <c r="G9" s="22">
        <v>6</v>
      </c>
      <c r="H9" s="23">
        <v>0.11</v>
      </c>
      <c r="I9" s="22">
        <v>0.13</v>
      </c>
      <c r="J9" s="22">
        <v>1.84</v>
      </c>
      <c r="K9" s="22">
        <v>2.1</v>
      </c>
      <c r="L9" s="22">
        <v>0.23</v>
      </c>
    </row>
    <row r="10" spans="1:12" ht="15.6" x14ac:dyDescent="0.3">
      <c r="A10" s="18">
        <v>4</v>
      </c>
      <c r="B10" s="21" t="s">
        <v>153</v>
      </c>
      <c r="C10" s="22">
        <v>500</v>
      </c>
      <c r="D10" s="22">
        <v>0.84</v>
      </c>
      <c r="E10" s="22">
        <v>0.12</v>
      </c>
      <c r="F10" s="22">
        <v>4</v>
      </c>
      <c r="G10" s="22">
        <v>6</v>
      </c>
      <c r="H10" s="23">
        <v>0.15</v>
      </c>
      <c r="I10" s="22">
        <v>0.16</v>
      </c>
      <c r="J10" s="22">
        <v>2.38</v>
      </c>
      <c r="K10" s="22">
        <v>2.48</v>
      </c>
      <c r="L10" s="22">
        <v>0.2</v>
      </c>
    </row>
    <row r="11" spans="1:12" ht="15" customHeight="1" x14ac:dyDescent="0.3">
      <c r="A11" s="18">
        <v>5</v>
      </c>
      <c r="B11" s="21" t="s">
        <v>154</v>
      </c>
      <c r="C11" s="22">
        <v>400</v>
      </c>
      <c r="D11" s="22">
        <v>0.84</v>
      </c>
      <c r="E11" s="22">
        <v>0.09</v>
      </c>
      <c r="F11" s="22">
        <v>8</v>
      </c>
      <c r="G11" s="22">
        <v>13</v>
      </c>
      <c r="H11" s="23">
        <v>0.11</v>
      </c>
      <c r="I11" s="22">
        <v>0.13</v>
      </c>
      <c r="J11" s="22">
        <v>1.94</v>
      </c>
      <c r="K11" s="22">
        <v>2.29</v>
      </c>
      <c r="L11" s="22">
        <v>0.19</v>
      </c>
    </row>
    <row r="12" spans="1:12" ht="15.6" x14ac:dyDescent="0.3">
      <c r="A12" s="18">
        <v>6</v>
      </c>
      <c r="B12" s="21" t="s">
        <v>155</v>
      </c>
      <c r="C12" s="22">
        <v>600</v>
      </c>
      <c r="D12" s="22">
        <v>0.84</v>
      </c>
      <c r="E12" s="22">
        <v>0.14000000000000001</v>
      </c>
      <c r="F12" s="22">
        <v>8</v>
      </c>
      <c r="G12" s="22">
        <v>13</v>
      </c>
      <c r="H12" s="23">
        <v>0.16</v>
      </c>
      <c r="I12" s="22">
        <v>0.17</v>
      </c>
      <c r="J12" s="22">
        <v>2.87</v>
      </c>
      <c r="K12" s="22">
        <v>3.21</v>
      </c>
      <c r="L12" s="22">
        <v>0.15</v>
      </c>
    </row>
    <row r="13" spans="1:12" ht="15.6" x14ac:dyDescent="0.3">
      <c r="A13" s="18">
        <v>7</v>
      </c>
      <c r="B13" s="21" t="s">
        <v>156</v>
      </c>
      <c r="C13" s="22">
        <v>800</v>
      </c>
      <c r="D13" s="22">
        <v>0.84</v>
      </c>
      <c r="E13" s="22">
        <v>0.21</v>
      </c>
      <c r="F13" s="22">
        <v>8</v>
      </c>
      <c r="G13" s="22">
        <v>13</v>
      </c>
      <c r="H13" s="23">
        <v>0.23</v>
      </c>
      <c r="I13" s="22">
        <v>0.26</v>
      </c>
      <c r="J13" s="22">
        <v>3.97</v>
      </c>
      <c r="K13" s="22">
        <v>4.58</v>
      </c>
      <c r="L13" s="22">
        <v>0.12</v>
      </c>
    </row>
    <row r="14" spans="1:12" ht="17.399999999999999" x14ac:dyDescent="0.3">
      <c r="B14" s="43" t="s">
        <v>224</v>
      </c>
      <c r="C14" s="10"/>
      <c r="D14" s="10"/>
      <c r="E14" s="10"/>
      <c r="F14" s="10"/>
      <c r="G14" s="10"/>
      <c r="H14" s="23">
        <v>1</v>
      </c>
      <c r="I14" s="22">
        <v>1</v>
      </c>
      <c r="J14" s="10"/>
      <c r="K14" s="10"/>
      <c r="L14" s="10"/>
    </row>
    <row r="15" spans="1:12" ht="15.6" x14ac:dyDescent="0.3">
      <c r="A15" s="18">
        <v>1</v>
      </c>
      <c r="B15" s="21" t="s">
        <v>465</v>
      </c>
      <c r="C15" s="22">
        <v>300</v>
      </c>
      <c r="D15" s="22">
        <v>0.84</v>
      </c>
      <c r="E15" s="22">
        <v>0.112</v>
      </c>
      <c r="F15" s="22">
        <v>1</v>
      </c>
      <c r="G15" s="22">
        <v>2</v>
      </c>
      <c r="H15" s="23">
        <v>0.115</v>
      </c>
      <c r="I15" s="22">
        <v>0.12</v>
      </c>
      <c r="J15" s="22">
        <v>1.42</v>
      </c>
      <c r="K15" s="22">
        <v>1.51</v>
      </c>
      <c r="L15" s="22">
        <v>0.26</v>
      </c>
    </row>
    <row r="16" spans="1:12" ht="15.6" x14ac:dyDescent="0.3">
      <c r="A16" s="18">
        <v>2</v>
      </c>
      <c r="B16" s="21" t="s">
        <v>466</v>
      </c>
      <c r="C16" s="22">
        <v>300</v>
      </c>
      <c r="D16" s="22">
        <v>0.84</v>
      </c>
      <c r="E16" s="22">
        <v>0.112</v>
      </c>
      <c r="F16" s="22">
        <v>1</v>
      </c>
      <c r="G16" s="22">
        <v>3</v>
      </c>
      <c r="H16" s="23">
        <v>0.12</v>
      </c>
      <c r="I16" s="22">
        <v>0.13</v>
      </c>
      <c r="J16" s="22">
        <v>1.56</v>
      </c>
      <c r="K16" s="22">
        <v>1.65</v>
      </c>
      <c r="L16" s="22">
        <v>0.22</v>
      </c>
    </row>
    <row r="17" spans="1:12" ht="15.6" x14ac:dyDescent="0.3">
      <c r="A17" s="18">
        <v>3</v>
      </c>
      <c r="B17" s="21" t="s">
        <v>467</v>
      </c>
      <c r="C17" s="22">
        <v>350</v>
      </c>
      <c r="D17" s="22">
        <v>0.84</v>
      </c>
      <c r="E17" s="22">
        <v>0.16200000000000001</v>
      </c>
      <c r="F17" s="22">
        <v>1</v>
      </c>
      <c r="G17" s="22">
        <v>3</v>
      </c>
      <c r="H17" s="23">
        <v>0.17</v>
      </c>
      <c r="I17" s="22">
        <v>0.19</v>
      </c>
      <c r="J17" s="22">
        <v>2</v>
      </c>
      <c r="K17" s="22">
        <v>2.16</v>
      </c>
      <c r="L17" s="22">
        <v>0.21</v>
      </c>
    </row>
    <row r="18" spans="1:12" ht="15.6" x14ac:dyDescent="0.3">
      <c r="A18" s="18">
        <v>4</v>
      </c>
      <c r="B18" s="21" t="s">
        <v>468</v>
      </c>
      <c r="C18" s="22">
        <v>250</v>
      </c>
      <c r="D18" s="22">
        <v>0.84</v>
      </c>
      <c r="E18" s="22">
        <v>0.112</v>
      </c>
      <c r="F18" s="22">
        <v>2</v>
      </c>
      <c r="G18" s="22">
        <v>3</v>
      </c>
      <c r="H18" s="23">
        <v>0.13</v>
      </c>
      <c r="I18" s="22">
        <v>0.15</v>
      </c>
      <c r="J18" s="22">
        <v>1.48</v>
      </c>
      <c r="K18" s="22">
        <v>1.62</v>
      </c>
      <c r="L18" s="22">
        <v>0.26</v>
      </c>
    </row>
    <row r="19" spans="1:12" ht="15.6" x14ac:dyDescent="0.3">
      <c r="A19" s="18">
        <v>5</v>
      </c>
      <c r="B19" s="21" t="s">
        <v>469</v>
      </c>
      <c r="C19" s="22">
        <v>200</v>
      </c>
      <c r="D19" s="22">
        <v>0.84</v>
      </c>
      <c r="E19" s="22">
        <v>9.9000000000000005E-2</v>
      </c>
      <c r="F19" s="22">
        <v>2</v>
      </c>
      <c r="G19" s="22">
        <v>3</v>
      </c>
      <c r="H19" s="23">
        <v>0.11</v>
      </c>
      <c r="I19" s="22">
        <v>0.12</v>
      </c>
      <c r="J19" s="22">
        <v>1.22</v>
      </c>
      <c r="K19" s="22">
        <v>1.3</v>
      </c>
      <c r="L19" s="22">
        <v>0.26</v>
      </c>
    </row>
    <row r="20" spans="1:12" ht="15.6" x14ac:dyDescent="0.3">
      <c r="A20" s="18">
        <v>6</v>
      </c>
      <c r="B20" s="21" t="s">
        <v>470</v>
      </c>
      <c r="C20" s="22">
        <v>300</v>
      </c>
      <c r="D20" s="22">
        <v>0.84</v>
      </c>
      <c r="E20" s="22">
        <v>0.14000000000000001</v>
      </c>
      <c r="F20" s="22">
        <v>2</v>
      </c>
      <c r="G20" s="22">
        <v>3</v>
      </c>
      <c r="H20" s="23">
        <v>0.12</v>
      </c>
      <c r="I20" s="22">
        <v>0.13</v>
      </c>
      <c r="J20" s="22">
        <v>1.56</v>
      </c>
      <c r="K20" s="22">
        <v>1.66</v>
      </c>
      <c r="L20" s="22">
        <v>0.25</v>
      </c>
    </row>
    <row r="21" spans="1:12" ht="15.6" x14ac:dyDescent="0.3">
      <c r="A21" s="18">
        <v>7</v>
      </c>
      <c r="B21" s="21" t="s">
        <v>471</v>
      </c>
      <c r="C21" s="22">
        <v>400</v>
      </c>
      <c r="D21" s="22">
        <v>0.84</v>
      </c>
      <c r="E21" s="22">
        <v>0.12</v>
      </c>
      <c r="F21" s="22">
        <v>2</v>
      </c>
      <c r="G21" s="22">
        <v>3</v>
      </c>
      <c r="H21" s="23">
        <v>0.13</v>
      </c>
      <c r="I21" s="22">
        <v>0.14000000000000001</v>
      </c>
      <c r="J21" s="22">
        <v>1.87</v>
      </c>
      <c r="K21" s="22">
        <v>1.99</v>
      </c>
      <c r="L21" s="22">
        <v>0.24</v>
      </c>
    </row>
    <row r="22" spans="1:12" ht="15.6" x14ac:dyDescent="0.3">
      <c r="A22" s="18">
        <v>8</v>
      </c>
      <c r="B22" s="21" t="s">
        <v>472</v>
      </c>
      <c r="C22" s="22">
        <v>600</v>
      </c>
      <c r="D22" s="22">
        <v>0.84</v>
      </c>
      <c r="E22" s="22">
        <v>0.14000000000000001</v>
      </c>
      <c r="F22" s="22">
        <v>2</v>
      </c>
      <c r="G22" s="22">
        <v>3</v>
      </c>
      <c r="H22" s="23">
        <v>0.17</v>
      </c>
      <c r="I22" s="22">
        <v>0.2</v>
      </c>
      <c r="J22" s="22">
        <v>2.62</v>
      </c>
      <c r="K22" s="22">
        <v>2.91</v>
      </c>
      <c r="L22" s="22">
        <v>0.23</v>
      </c>
    </row>
    <row r="23" spans="1:12" ht="15.6" x14ac:dyDescent="0.3">
      <c r="A23" s="18">
        <v>9</v>
      </c>
      <c r="B23" s="21" t="s">
        <v>473</v>
      </c>
      <c r="C23" s="22">
        <v>800</v>
      </c>
      <c r="D23" s="22">
        <v>0.84</v>
      </c>
      <c r="E23" s="22">
        <v>0.18</v>
      </c>
      <c r="F23" s="22">
        <v>2</v>
      </c>
      <c r="G23" s="22">
        <v>3</v>
      </c>
      <c r="H23" s="23">
        <v>0.21</v>
      </c>
      <c r="I23" s="22">
        <v>0.23</v>
      </c>
      <c r="J23" s="22">
        <v>3.36</v>
      </c>
      <c r="K23" s="22">
        <v>3.6</v>
      </c>
      <c r="L23" s="22">
        <v>0.21</v>
      </c>
    </row>
    <row r="24" spans="1:12" ht="15.6" x14ac:dyDescent="0.3">
      <c r="A24" s="18">
        <v>10</v>
      </c>
      <c r="B24" s="21" t="s">
        <v>474</v>
      </c>
      <c r="C24" s="22">
        <v>400</v>
      </c>
      <c r="D24" s="22">
        <v>0.84</v>
      </c>
      <c r="E24" s="22">
        <v>0.17</v>
      </c>
      <c r="F24" s="22">
        <v>2</v>
      </c>
      <c r="G24" s="22">
        <v>3</v>
      </c>
      <c r="H24" s="23">
        <v>0.21</v>
      </c>
      <c r="I24" s="22">
        <v>0.23</v>
      </c>
      <c r="J24" s="22">
        <v>2.35</v>
      </c>
      <c r="K24" s="22">
        <v>2.52</v>
      </c>
      <c r="L24" s="22">
        <v>0.24</v>
      </c>
    </row>
    <row r="25" spans="1:12" ht="15.6" x14ac:dyDescent="0.3">
      <c r="A25" s="18">
        <v>11</v>
      </c>
      <c r="B25" s="21" t="s">
        <v>475</v>
      </c>
      <c r="C25" s="22">
        <v>100</v>
      </c>
      <c r="D25" s="22">
        <v>0.84</v>
      </c>
      <c r="E25" s="22">
        <v>6.4000000000000001E-2</v>
      </c>
      <c r="F25" s="22">
        <v>1</v>
      </c>
      <c r="G25" s="22">
        <v>3</v>
      </c>
      <c r="H25" s="23">
        <v>7.5999999999999998E-2</v>
      </c>
      <c r="I25" s="22">
        <v>0.08</v>
      </c>
      <c r="J25" s="22">
        <v>0.7</v>
      </c>
      <c r="K25" s="22">
        <v>0.75</v>
      </c>
      <c r="L25" s="22">
        <v>0.3</v>
      </c>
    </row>
    <row r="26" spans="1:12" ht="15.6" x14ac:dyDescent="0.3">
      <c r="A26" s="18">
        <v>12</v>
      </c>
      <c r="B26" s="21" t="s">
        <v>476</v>
      </c>
      <c r="C26" s="22">
        <v>200</v>
      </c>
      <c r="D26" s="22">
        <v>0.84</v>
      </c>
      <c r="E26" s="22">
        <v>7.5999999999999998E-2</v>
      </c>
      <c r="F26" s="22">
        <v>1</v>
      </c>
      <c r="G26" s="22">
        <v>3</v>
      </c>
      <c r="H26" s="23">
        <v>0.09</v>
      </c>
      <c r="I26" s="22">
        <v>0.11</v>
      </c>
      <c r="J26" s="22">
        <v>1.08</v>
      </c>
      <c r="K26" s="22">
        <v>1.24</v>
      </c>
      <c r="L26" s="22">
        <v>0.23</v>
      </c>
    </row>
    <row r="27" spans="1:12" ht="15.6" x14ac:dyDescent="0.3">
      <c r="A27" s="18">
        <v>13</v>
      </c>
      <c r="B27" s="21" t="s">
        <v>477</v>
      </c>
      <c r="C27" s="22">
        <v>1600</v>
      </c>
      <c r="D27" s="22">
        <v>0.84</v>
      </c>
      <c r="E27" s="22">
        <v>0.35</v>
      </c>
      <c r="F27" s="22">
        <v>1</v>
      </c>
      <c r="G27" s="22">
        <v>2</v>
      </c>
      <c r="H27" s="23">
        <v>0.47</v>
      </c>
      <c r="I27" s="22">
        <v>0.57999999999999996</v>
      </c>
      <c r="J27" s="22">
        <v>6.95</v>
      </c>
      <c r="K27" s="22">
        <v>7.91</v>
      </c>
      <c r="L27" s="22">
        <v>0.17</v>
      </c>
    </row>
    <row r="28" spans="1:12" ht="17.399999999999999" x14ac:dyDescent="0.3">
      <c r="B28" s="43" t="s">
        <v>208</v>
      </c>
      <c r="C28" s="10"/>
      <c r="D28" s="10"/>
      <c r="E28" s="10"/>
      <c r="F28" s="10"/>
      <c r="G28" s="10"/>
      <c r="H28" s="23">
        <v>1</v>
      </c>
      <c r="I28" s="22">
        <v>1</v>
      </c>
      <c r="J28" s="10"/>
      <c r="K28" s="10"/>
      <c r="L28" s="10"/>
    </row>
    <row r="29" spans="1:12" ht="15.6" x14ac:dyDescent="0.3">
      <c r="A29" s="18">
        <v>1</v>
      </c>
      <c r="B29" s="21" t="s">
        <v>111</v>
      </c>
      <c r="C29" s="22">
        <v>600</v>
      </c>
      <c r="D29" s="22">
        <v>0.84</v>
      </c>
      <c r="E29" s="22">
        <v>0.14000000000000001</v>
      </c>
      <c r="F29" s="22">
        <v>10</v>
      </c>
      <c r="G29" s="22">
        <v>15</v>
      </c>
      <c r="H29" s="23">
        <v>0.19</v>
      </c>
      <c r="I29" s="22">
        <v>0.23</v>
      </c>
      <c r="J29" s="22">
        <v>3.24</v>
      </c>
      <c r="K29" s="22">
        <v>3.84</v>
      </c>
      <c r="L29" s="22">
        <v>0.17</v>
      </c>
    </row>
    <row r="30" spans="1:12" ht="15.6" x14ac:dyDescent="0.3">
      <c r="A30" s="18">
        <v>2</v>
      </c>
      <c r="B30" s="21" t="s">
        <v>112</v>
      </c>
      <c r="C30" s="22">
        <v>800</v>
      </c>
      <c r="D30" s="22">
        <v>0.84</v>
      </c>
      <c r="E30" s="22">
        <v>0.16</v>
      </c>
      <c r="F30" s="22">
        <v>7</v>
      </c>
      <c r="G30" s="22">
        <v>12</v>
      </c>
      <c r="H30" s="23">
        <v>0.21</v>
      </c>
      <c r="I30" s="22">
        <v>0.26</v>
      </c>
      <c r="J30" s="22">
        <v>3.73</v>
      </c>
      <c r="K30" s="22">
        <v>4.51</v>
      </c>
      <c r="L30" s="22">
        <v>0.16</v>
      </c>
    </row>
    <row r="31" spans="1:12" ht="15.6" x14ac:dyDescent="0.3">
      <c r="A31" s="18">
        <v>3</v>
      </c>
      <c r="B31" s="21" t="s">
        <v>113</v>
      </c>
      <c r="C31" s="22">
        <v>1000</v>
      </c>
      <c r="D31" s="22">
        <v>0.84</v>
      </c>
      <c r="E31" s="22">
        <v>0.21</v>
      </c>
      <c r="F31" s="22">
        <v>7</v>
      </c>
      <c r="G31" s="22">
        <v>12</v>
      </c>
      <c r="H31" s="23">
        <v>0.26</v>
      </c>
      <c r="I31" s="22">
        <v>0.3</v>
      </c>
      <c r="J31" s="22">
        <v>4.6399999999999997</v>
      </c>
      <c r="K31" s="22">
        <v>5.42</v>
      </c>
      <c r="L31" s="22">
        <v>0.15</v>
      </c>
    </row>
    <row r="32" spans="1:12" ht="15.6" x14ac:dyDescent="0.3">
      <c r="A32" s="18">
        <v>4</v>
      </c>
      <c r="B32" s="21" t="s">
        <v>114</v>
      </c>
      <c r="C32" s="22">
        <v>400</v>
      </c>
      <c r="D32" s="22">
        <v>0.84</v>
      </c>
      <c r="E32" s="22">
        <v>0.09</v>
      </c>
      <c r="F32" s="22">
        <v>6</v>
      </c>
      <c r="G32" s="22">
        <v>10</v>
      </c>
      <c r="H32" s="23">
        <v>0.13</v>
      </c>
      <c r="I32" s="22">
        <v>0.15</v>
      </c>
      <c r="J32" s="22">
        <v>2.0299999999999998</v>
      </c>
      <c r="K32" s="22">
        <v>2.35</v>
      </c>
      <c r="L32" s="22">
        <v>0.53</v>
      </c>
    </row>
    <row r="33" spans="1:12" ht="15.6" x14ac:dyDescent="0.3">
      <c r="A33" s="18">
        <v>5</v>
      </c>
      <c r="B33" s="21" t="s">
        <v>115</v>
      </c>
      <c r="C33" s="22">
        <v>500</v>
      </c>
      <c r="D33" s="22">
        <v>0.84</v>
      </c>
      <c r="E33" s="22">
        <v>0.12</v>
      </c>
      <c r="F33" s="22">
        <v>6</v>
      </c>
      <c r="G33" s="22">
        <v>10</v>
      </c>
      <c r="H33" s="23">
        <v>0.15</v>
      </c>
      <c r="I33" s="22">
        <v>0.19</v>
      </c>
      <c r="J33" s="22">
        <v>2.44</v>
      </c>
      <c r="K33" s="22">
        <v>2.95</v>
      </c>
      <c r="L33" s="22">
        <v>0.43</v>
      </c>
    </row>
    <row r="34" spans="1:12" ht="15.6" x14ac:dyDescent="0.3">
      <c r="A34" s="18">
        <v>6</v>
      </c>
      <c r="B34" s="21" t="s">
        <v>116</v>
      </c>
      <c r="C34" s="22">
        <v>200</v>
      </c>
      <c r="D34" s="22">
        <v>0.84</v>
      </c>
      <c r="E34" s="22">
        <v>6.3E-2</v>
      </c>
      <c r="F34" s="22">
        <v>4</v>
      </c>
      <c r="G34" s="22">
        <v>8</v>
      </c>
      <c r="H34" s="23">
        <v>7.1999999999999995E-2</v>
      </c>
      <c r="I34" s="22">
        <v>0.08</v>
      </c>
      <c r="J34" s="22">
        <v>1.03</v>
      </c>
      <c r="K34" s="22">
        <v>1.17</v>
      </c>
      <c r="L34" s="22">
        <v>0.35</v>
      </c>
    </row>
    <row r="35" spans="1:12" ht="15.6" x14ac:dyDescent="0.3">
      <c r="A35" s="18">
        <v>7</v>
      </c>
      <c r="B35" s="21" t="s">
        <v>117</v>
      </c>
      <c r="C35" s="22">
        <v>300</v>
      </c>
      <c r="D35" s="22">
        <v>0.84</v>
      </c>
      <c r="E35" s="22">
        <v>7.2999999999999995E-2</v>
      </c>
      <c r="F35" s="22">
        <v>4</v>
      </c>
      <c r="G35" s="22">
        <v>8</v>
      </c>
      <c r="H35" s="23">
        <v>8.2000000000000003E-2</v>
      </c>
      <c r="I35" s="22">
        <v>0.09</v>
      </c>
      <c r="J35" s="22">
        <v>1.34</v>
      </c>
      <c r="K35" s="22">
        <v>1.52</v>
      </c>
      <c r="L35" s="22">
        <v>0.28999999999999998</v>
      </c>
    </row>
    <row r="36" spans="1:12" ht="15.6" x14ac:dyDescent="0.3">
      <c r="A36" s="18">
        <v>8</v>
      </c>
      <c r="B36" s="21" t="s">
        <v>118</v>
      </c>
      <c r="C36" s="22">
        <v>1200</v>
      </c>
      <c r="D36" s="22">
        <v>0.84</v>
      </c>
      <c r="E36" s="22">
        <v>0.35</v>
      </c>
      <c r="F36" s="22">
        <v>2</v>
      </c>
      <c r="G36" s="22">
        <v>4</v>
      </c>
      <c r="H36" s="23">
        <v>0.47</v>
      </c>
      <c r="I36" s="22">
        <v>0.57999999999999996</v>
      </c>
      <c r="J36" s="22">
        <v>6.16</v>
      </c>
      <c r="K36" s="22">
        <v>7.15</v>
      </c>
      <c r="L36" s="22">
        <v>0.14000000000000001</v>
      </c>
    </row>
    <row r="37" spans="1:12" ht="15.6" x14ac:dyDescent="0.3">
      <c r="A37" s="18">
        <v>9</v>
      </c>
      <c r="B37" s="21" t="s">
        <v>119</v>
      </c>
      <c r="C37" s="22">
        <v>1400</v>
      </c>
      <c r="D37" s="22">
        <v>0.84</v>
      </c>
      <c r="E37" s="22">
        <v>0.41</v>
      </c>
      <c r="F37" s="22">
        <v>2</v>
      </c>
      <c r="G37" s="22">
        <v>4</v>
      </c>
      <c r="H37" s="23">
        <v>0.52</v>
      </c>
      <c r="I37" s="22">
        <v>0.64</v>
      </c>
      <c r="J37" s="22">
        <v>7</v>
      </c>
      <c r="K37" s="22">
        <v>8.11</v>
      </c>
      <c r="L37" s="22">
        <v>0.11</v>
      </c>
    </row>
    <row r="38" spans="1:12" ht="15.6" x14ac:dyDescent="0.3">
      <c r="A38" s="18">
        <v>10</v>
      </c>
      <c r="B38" s="21" t="s">
        <v>120</v>
      </c>
      <c r="C38" s="22">
        <v>600</v>
      </c>
      <c r="D38" s="22">
        <v>0.84</v>
      </c>
      <c r="E38" s="22">
        <v>0.1</v>
      </c>
      <c r="F38" s="22">
        <v>4</v>
      </c>
      <c r="G38" s="22">
        <v>10</v>
      </c>
      <c r="H38" s="23">
        <v>0.12</v>
      </c>
      <c r="I38" s="22">
        <v>0.17</v>
      </c>
      <c r="J38" s="22">
        <v>2.33</v>
      </c>
      <c r="K38" s="22">
        <v>3.06</v>
      </c>
      <c r="L38" s="22">
        <v>7.0000000000000007E-2</v>
      </c>
    </row>
    <row r="39" spans="1:12" ht="15.6" x14ac:dyDescent="0.3">
      <c r="A39" s="64"/>
      <c r="B39" s="73" t="s">
        <v>517</v>
      </c>
      <c r="C39" s="22"/>
      <c r="D39" s="22"/>
      <c r="E39" s="22"/>
      <c r="F39" s="22"/>
      <c r="G39" s="22"/>
      <c r="H39" s="23">
        <v>1</v>
      </c>
      <c r="I39" s="22">
        <v>1</v>
      </c>
      <c r="J39" s="22"/>
      <c r="K39" s="22"/>
      <c r="L39" s="22"/>
    </row>
    <row r="40" spans="1:12" ht="15.6" x14ac:dyDescent="0.3">
      <c r="A40" s="64"/>
      <c r="B40" s="74" t="s">
        <v>514</v>
      </c>
      <c r="C40" s="22">
        <v>30</v>
      </c>
      <c r="D40" s="22"/>
      <c r="E40" s="22"/>
      <c r="F40" s="22"/>
      <c r="G40" s="22"/>
      <c r="H40" s="23">
        <v>2.3E-2</v>
      </c>
      <c r="I40" s="22">
        <v>2.3E-2</v>
      </c>
      <c r="J40" s="22"/>
      <c r="K40" s="22"/>
      <c r="L40" s="22"/>
    </row>
    <row r="41" spans="1:12" ht="15.6" x14ac:dyDescent="0.3">
      <c r="A41" s="64"/>
      <c r="B41" s="74" t="s">
        <v>504</v>
      </c>
      <c r="C41" s="22" t="s">
        <v>505</v>
      </c>
      <c r="D41" s="22"/>
      <c r="E41" s="22"/>
      <c r="F41" s="22"/>
      <c r="G41" s="22"/>
      <c r="H41" s="23">
        <v>3.7499999999999999E-2</v>
      </c>
      <c r="I41" s="22">
        <v>3.7699999999999997E-2</v>
      </c>
      <c r="J41" s="22"/>
      <c r="K41" s="22"/>
      <c r="L41" s="22"/>
    </row>
    <row r="42" spans="1:12" ht="15.6" x14ac:dyDescent="0.3">
      <c r="A42" s="64"/>
      <c r="B42" s="74" t="s">
        <v>503</v>
      </c>
      <c r="C42" s="22">
        <v>190</v>
      </c>
      <c r="D42" s="22"/>
      <c r="E42" s="22"/>
      <c r="F42" s="22"/>
      <c r="G42" s="22"/>
      <c r="H42" s="23">
        <v>0.04</v>
      </c>
      <c r="I42" s="22">
        <v>4.2000000000000003E-2</v>
      </c>
      <c r="J42" s="22"/>
      <c r="K42" s="22"/>
      <c r="L42" s="22"/>
    </row>
    <row r="43" spans="1:12" ht="15.6" x14ac:dyDescent="0.3">
      <c r="A43" s="64"/>
      <c r="B43" s="74" t="s">
        <v>506</v>
      </c>
      <c r="C43" s="22">
        <v>100</v>
      </c>
      <c r="D43" s="22"/>
      <c r="E43" s="22"/>
      <c r="F43" s="22"/>
      <c r="G43" s="22"/>
      <c r="H43" s="23">
        <v>3.6299999999999999E-2</v>
      </c>
      <c r="I43" s="22">
        <v>3.6299999999999999E-2</v>
      </c>
      <c r="J43" s="22"/>
      <c r="K43" s="22"/>
      <c r="L43" s="22"/>
    </row>
    <row r="44" spans="1:12" ht="15.6" x14ac:dyDescent="0.3">
      <c r="A44" s="64"/>
      <c r="B44" s="74" t="s">
        <v>502</v>
      </c>
      <c r="C44" s="22">
        <v>35</v>
      </c>
      <c r="D44" s="22"/>
      <c r="E44" s="22"/>
      <c r="F44" s="22"/>
      <c r="G44" s="22"/>
      <c r="H44" s="23">
        <v>3.5000000000000003E-2</v>
      </c>
      <c r="I44" s="22">
        <v>3.5000000000000003E-2</v>
      </c>
      <c r="J44" s="22"/>
      <c r="K44" s="22"/>
      <c r="L44" s="22"/>
    </row>
    <row r="45" spans="1:12" ht="17.399999999999999" x14ac:dyDescent="0.3">
      <c r="B45" s="43" t="s">
        <v>200</v>
      </c>
      <c r="C45" s="10"/>
      <c r="D45" s="10"/>
      <c r="E45" s="10"/>
      <c r="F45" s="10"/>
      <c r="G45" s="10"/>
      <c r="H45" s="23">
        <v>1</v>
      </c>
      <c r="I45" s="22">
        <v>1</v>
      </c>
      <c r="J45" s="10"/>
      <c r="K45" s="10"/>
      <c r="L45" s="10"/>
    </row>
    <row r="46" spans="1:12" ht="15.6" x14ac:dyDescent="0.3">
      <c r="A46" s="18">
        <v>1</v>
      </c>
      <c r="B46" s="21" t="s">
        <v>153</v>
      </c>
      <c r="C46" s="22">
        <v>500</v>
      </c>
      <c r="D46" s="22">
        <v>0.84</v>
      </c>
      <c r="E46" s="22">
        <v>0.12</v>
      </c>
      <c r="F46" s="22">
        <v>4</v>
      </c>
      <c r="G46" s="22">
        <v>6</v>
      </c>
      <c r="H46" s="23">
        <v>0.15</v>
      </c>
      <c r="I46" s="22">
        <v>0.16</v>
      </c>
      <c r="J46" s="22">
        <v>2.38</v>
      </c>
      <c r="K46" s="22">
        <v>2.48</v>
      </c>
      <c r="L46" s="22">
        <v>0.2</v>
      </c>
    </row>
    <row r="47" spans="1:12" ht="15.6" x14ac:dyDescent="0.3">
      <c r="A47" s="18">
        <v>2</v>
      </c>
      <c r="B47" s="21" t="s">
        <v>157</v>
      </c>
      <c r="C47" s="22">
        <v>600</v>
      </c>
      <c r="D47" s="22">
        <v>0.84</v>
      </c>
      <c r="E47" s="22">
        <v>0.13</v>
      </c>
      <c r="F47" s="22">
        <v>4</v>
      </c>
      <c r="G47" s="22">
        <v>6</v>
      </c>
      <c r="H47" s="23">
        <v>0.16</v>
      </c>
      <c r="I47" s="22">
        <v>0.18</v>
      </c>
      <c r="J47" s="22">
        <v>2.65</v>
      </c>
      <c r="K47" s="22">
        <v>2.9</v>
      </c>
      <c r="L47" s="22">
        <v>0.17</v>
      </c>
    </row>
    <row r="48" spans="1:12" ht="15.6" x14ac:dyDescent="0.3">
      <c r="A48" s="18">
        <v>3</v>
      </c>
      <c r="B48" s="21" t="s">
        <v>158</v>
      </c>
      <c r="C48" s="22">
        <v>700</v>
      </c>
      <c r="D48" s="22">
        <v>0.84</v>
      </c>
      <c r="E48" s="22">
        <v>0.18</v>
      </c>
      <c r="F48" s="22">
        <v>6</v>
      </c>
      <c r="G48" s="22">
        <v>8</v>
      </c>
      <c r="H48" s="23">
        <v>0.24</v>
      </c>
      <c r="I48" s="22">
        <v>0.27</v>
      </c>
      <c r="J48" s="22">
        <v>3.66</v>
      </c>
      <c r="K48" s="22">
        <v>3.98</v>
      </c>
      <c r="L48" s="22">
        <v>0.16</v>
      </c>
    </row>
    <row r="49" spans="1:12" ht="15.6" x14ac:dyDescent="0.3">
      <c r="A49" s="18">
        <v>4</v>
      </c>
      <c r="B49" s="21" t="s">
        <v>159</v>
      </c>
      <c r="C49" s="22">
        <v>800</v>
      </c>
      <c r="D49" s="22">
        <v>0.84</v>
      </c>
      <c r="E49" s="22">
        <v>0.21</v>
      </c>
      <c r="F49" s="22">
        <v>6</v>
      </c>
      <c r="G49" s="22">
        <v>8</v>
      </c>
      <c r="H49" s="23">
        <v>0.27</v>
      </c>
      <c r="I49" s="22">
        <v>0.3</v>
      </c>
      <c r="J49" s="22">
        <v>4.16</v>
      </c>
      <c r="K49" s="22">
        <v>4.51</v>
      </c>
      <c r="L49" s="22">
        <v>0.14000000000000001</v>
      </c>
    </row>
    <row r="50" spans="1:12" ht="15.6" x14ac:dyDescent="0.3">
      <c r="A50" s="18">
        <v>5</v>
      </c>
      <c r="B50" s="21" t="s">
        <v>160</v>
      </c>
      <c r="C50" s="22">
        <v>900</v>
      </c>
      <c r="D50" s="22">
        <v>0.84</v>
      </c>
      <c r="E50" s="22">
        <v>0.24</v>
      </c>
      <c r="F50" s="22">
        <v>6</v>
      </c>
      <c r="G50" s="22">
        <v>8</v>
      </c>
      <c r="H50" s="23">
        <v>0.33</v>
      </c>
      <c r="I50" s="22">
        <v>0.36</v>
      </c>
      <c r="J50" s="22">
        <v>4.82</v>
      </c>
      <c r="K50" s="22">
        <v>5.23</v>
      </c>
      <c r="L50" s="22">
        <v>0.12</v>
      </c>
    </row>
    <row r="51" spans="1:12" ht="15.6" x14ac:dyDescent="0.3">
      <c r="A51" s="18">
        <v>6</v>
      </c>
      <c r="B51" s="21" t="s">
        <v>161</v>
      </c>
      <c r="C51" s="22">
        <v>1000</v>
      </c>
      <c r="D51" s="22">
        <v>0.84</v>
      </c>
      <c r="E51" s="22">
        <v>0.28999999999999998</v>
      </c>
      <c r="F51" s="22">
        <v>8</v>
      </c>
      <c r="G51" s="22">
        <v>12</v>
      </c>
      <c r="H51" s="23">
        <v>0.38</v>
      </c>
      <c r="I51" s="22">
        <v>0.44</v>
      </c>
      <c r="J51" s="22">
        <v>5.72</v>
      </c>
      <c r="K51" s="22">
        <v>6.59</v>
      </c>
      <c r="L51" s="22">
        <v>0.11</v>
      </c>
    </row>
    <row r="52" spans="1:12" ht="15.6" x14ac:dyDescent="0.3">
      <c r="A52" s="18">
        <v>7</v>
      </c>
      <c r="B52" s="21" t="s">
        <v>162</v>
      </c>
      <c r="C52" s="22">
        <v>1100</v>
      </c>
      <c r="D52" s="22">
        <v>0.84</v>
      </c>
      <c r="E52" s="22">
        <v>0.34</v>
      </c>
      <c r="F52" s="22">
        <v>10</v>
      </c>
      <c r="G52" s="22">
        <v>15</v>
      </c>
      <c r="H52" s="23">
        <v>0.45</v>
      </c>
      <c r="I52" s="22">
        <v>0.51</v>
      </c>
      <c r="J52" s="22">
        <v>6.74</v>
      </c>
      <c r="K52" s="22">
        <v>7.74</v>
      </c>
      <c r="L52" s="22">
        <v>0.1</v>
      </c>
    </row>
    <row r="53" spans="1:12" ht="15.6" x14ac:dyDescent="0.3">
      <c r="A53" s="18">
        <v>8</v>
      </c>
      <c r="B53" s="21" t="s">
        <v>163</v>
      </c>
      <c r="C53" s="22">
        <v>1200</v>
      </c>
      <c r="D53" s="22">
        <v>0.84</v>
      </c>
      <c r="E53" s="22">
        <v>0.38</v>
      </c>
      <c r="F53" s="22">
        <v>10</v>
      </c>
      <c r="G53" s="22">
        <v>15</v>
      </c>
      <c r="H53" s="23">
        <v>0.49</v>
      </c>
      <c r="I53" s="22">
        <v>0.55000000000000004</v>
      </c>
      <c r="J53" s="22">
        <v>7.37</v>
      </c>
      <c r="K53" s="22">
        <v>8.48</v>
      </c>
      <c r="L53" s="22">
        <v>0.09</v>
      </c>
    </row>
    <row r="54" spans="1:12" ht="15.6" x14ac:dyDescent="0.3">
      <c r="A54" s="18">
        <v>9</v>
      </c>
      <c r="B54" s="21" t="s">
        <v>164</v>
      </c>
      <c r="C54" s="22">
        <v>1000</v>
      </c>
      <c r="D54" s="22">
        <v>0.84</v>
      </c>
      <c r="E54" s="22">
        <v>0.23</v>
      </c>
      <c r="F54" s="22">
        <v>15</v>
      </c>
      <c r="G54" s="22">
        <v>22</v>
      </c>
      <c r="H54" s="23">
        <v>0.44</v>
      </c>
      <c r="I54" s="22">
        <v>0.5</v>
      </c>
      <c r="J54" s="22">
        <v>6.86</v>
      </c>
      <c r="K54" s="22">
        <v>8.01</v>
      </c>
      <c r="L54" s="22">
        <v>9.8000000000000004E-2</v>
      </c>
    </row>
    <row r="55" spans="1:12" ht="15.6" x14ac:dyDescent="0.3">
      <c r="A55" s="18">
        <v>10</v>
      </c>
      <c r="B55" s="21" t="s">
        <v>165</v>
      </c>
      <c r="C55" s="22">
        <v>1200</v>
      </c>
      <c r="D55" s="22">
        <v>0.84</v>
      </c>
      <c r="E55" s="22">
        <v>0.28999999999999998</v>
      </c>
      <c r="F55" s="22">
        <v>15</v>
      </c>
      <c r="G55" s="22">
        <v>22</v>
      </c>
      <c r="H55" s="23">
        <v>0.52</v>
      </c>
      <c r="I55" s="22">
        <v>0.57999999999999996</v>
      </c>
      <c r="J55" s="22">
        <v>8.17</v>
      </c>
      <c r="K55" s="22">
        <v>9.4600000000000009</v>
      </c>
      <c r="L55" s="22">
        <v>7.4999999999999997E-2</v>
      </c>
    </row>
    <row r="56" spans="1:12" ht="17.399999999999999" x14ac:dyDescent="0.3">
      <c r="B56" s="43" t="s">
        <v>201</v>
      </c>
      <c r="C56" s="10"/>
      <c r="D56" s="10"/>
      <c r="E56" s="10"/>
      <c r="F56" s="10"/>
      <c r="G56" s="10"/>
      <c r="H56" s="23">
        <v>1</v>
      </c>
      <c r="I56" s="22">
        <v>1</v>
      </c>
      <c r="J56" s="10"/>
      <c r="K56" s="10"/>
      <c r="L56" s="10"/>
    </row>
    <row r="57" spans="1:12" ht="15.6" x14ac:dyDescent="0.3">
      <c r="A57" s="18">
        <v>1</v>
      </c>
      <c r="B57" s="21" t="s">
        <v>166</v>
      </c>
      <c r="C57" s="22">
        <v>500</v>
      </c>
      <c r="D57" s="22">
        <v>0.84</v>
      </c>
      <c r="E57" s="22">
        <v>0.14000000000000001</v>
      </c>
      <c r="F57" s="22">
        <v>5</v>
      </c>
      <c r="G57" s="22">
        <v>10</v>
      </c>
      <c r="H57" s="23">
        <v>0.17</v>
      </c>
      <c r="I57" s="22">
        <v>0.23</v>
      </c>
      <c r="J57" s="22">
        <v>2.5499999999999998</v>
      </c>
      <c r="K57" s="22">
        <v>3.25</v>
      </c>
      <c r="L57" s="22">
        <v>0.3</v>
      </c>
    </row>
    <row r="58" spans="1:12" ht="15.6" x14ac:dyDescent="0.3">
      <c r="A58" s="18">
        <v>2</v>
      </c>
      <c r="B58" s="21" t="s">
        <v>167</v>
      </c>
      <c r="C58" s="22">
        <v>600</v>
      </c>
      <c r="D58" s="22">
        <v>0.84</v>
      </c>
      <c r="E58" s="22">
        <v>0.16</v>
      </c>
      <c r="F58" s="22">
        <v>5</v>
      </c>
      <c r="G58" s="22">
        <v>10</v>
      </c>
      <c r="H58" s="23">
        <v>0.2</v>
      </c>
      <c r="I58" s="22">
        <v>0.26</v>
      </c>
      <c r="J58" s="22">
        <v>3.03</v>
      </c>
      <c r="K58" s="22">
        <v>3.78</v>
      </c>
      <c r="L58" s="22">
        <v>0.26</v>
      </c>
    </row>
    <row r="59" spans="1:12" ht="15.6" x14ac:dyDescent="0.3">
      <c r="A59" s="18">
        <v>3</v>
      </c>
      <c r="B59" s="21" t="s">
        <v>168</v>
      </c>
      <c r="C59" s="22">
        <v>800</v>
      </c>
      <c r="D59" s="22">
        <v>0.84</v>
      </c>
      <c r="E59" s="22">
        <v>0.21</v>
      </c>
      <c r="F59" s="22">
        <v>5</v>
      </c>
      <c r="G59" s="22">
        <v>10</v>
      </c>
      <c r="H59" s="23">
        <v>0.24</v>
      </c>
      <c r="I59" s="22">
        <v>0.31</v>
      </c>
      <c r="J59" s="22">
        <v>3.83</v>
      </c>
      <c r="K59" s="22">
        <v>4.7699999999999996</v>
      </c>
      <c r="L59" s="22">
        <v>0.19</v>
      </c>
    </row>
    <row r="60" spans="1:12" ht="15.6" x14ac:dyDescent="0.3">
      <c r="A60" s="18">
        <v>4</v>
      </c>
      <c r="B60" s="21" t="s">
        <v>169</v>
      </c>
      <c r="C60" s="22">
        <v>1000</v>
      </c>
      <c r="D60" s="22">
        <v>0.84</v>
      </c>
      <c r="E60" s="22">
        <v>0.27</v>
      </c>
      <c r="F60" s="22">
        <v>5</v>
      </c>
      <c r="G60" s="22">
        <v>10</v>
      </c>
      <c r="H60" s="23">
        <v>0.33</v>
      </c>
      <c r="I60" s="22">
        <v>0.41</v>
      </c>
      <c r="J60" s="22">
        <v>5.03</v>
      </c>
      <c r="K60" s="22">
        <v>6.13</v>
      </c>
      <c r="L60" s="22">
        <v>0.14000000000000001</v>
      </c>
    </row>
    <row r="61" spans="1:12" ht="15.6" x14ac:dyDescent="0.3">
      <c r="A61" s="18">
        <v>5</v>
      </c>
      <c r="B61" s="21" t="s">
        <v>170</v>
      </c>
      <c r="C61" s="22">
        <v>1200</v>
      </c>
      <c r="D61" s="22">
        <v>0.84</v>
      </c>
      <c r="E61" s="22">
        <v>0.36</v>
      </c>
      <c r="F61" s="22">
        <v>5</v>
      </c>
      <c r="G61" s="22">
        <v>10</v>
      </c>
      <c r="H61" s="23">
        <v>0.44</v>
      </c>
      <c r="I61" s="22">
        <v>0.52</v>
      </c>
      <c r="J61" s="22">
        <v>6.36</v>
      </c>
      <c r="K61" s="22">
        <v>7.57</v>
      </c>
      <c r="L61" s="22">
        <v>0.11</v>
      </c>
    </row>
    <row r="62" spans="1:12" ht="15.6" x14ac:dyDescent="0.3">
      <c r="A62" s="18">
        <v>6</v>
      </c>
      <c r="B62" s="21" t="s">
        <v>171</v>
      </c>
      <c r="C62" s="22">
        <v>1400</v>
      </c>
      <c r="D62" s="22">
        <v>0.84</v>
      </c>
      <c r="E62" s="22">
        <v>0.47</v>
      </c>
      <c r="F62" s="22">
        <v>5</v>
      </c>
      <c r="G62" s="22">
        <v>10</v>
      </c>
      <c r="H62" s="23">
        <v>0.56000000000000005</v>
      </c>
      <c r="I62" s="22">
        <v>0.65</v>
      </c>
      <c r="J62" s="22">
        <v>7.75</v>
      </c>
      <c r="K62" s="22">
        <v>9.14</v>
      </c>
      <c r="L62" s="22">
        <v>9.8000000000000004E-2</v>
      </c>
    </row>
    <row r="63" spans="1:12" ht="15.6" x14ac:dyDescent="0.3">
      <c r="A63" s="18">
        <v>7</v>
      </c>
      <c r="B63" s="21" t="s">
        <v>172</v>
      </c>
      <c r="C63" s="22">
        <v>1600</v>
      </c>
      <c r="D63" s="22">
        <v>0.84</v>
      </c>
      <c r="E63" s="22">
        <v>0.57999999999999996</v>
      </c>
      <c r="F63" s="22">
        <v>5</v>
      </c>
      <c r="G63" s="22">
        <v>10</v>
      </c>
      <c r="H63" s="23">
        <v>0.67</v>
      </c>
      <c r="I63" s="22">
        <v>0.79</v>
      </c>
      <c r="J63" s="22">
        <v>9.06</v>
      </c>
      <c r="K63" s="22">
        <v>10.77</v>
      </c>
      <c r="L63" s="22">
        <v>0.09</v>
      </c>
    </row>
    <row r="64" spans="1:12" ht="15.6" x14ac:dyDescent="0.3">
      <c r="A64" s="18">
        <v>8</v>
      </c>
      <c r="B64" s="21" t="s">
        <v>173</v>
      </c>
      <c r="C64" s="22">
        <v>1800</v>
      </c>
      <c r="D64" s="22">
        <v>0.84</v>
      </c>
      <c r="E64" s="22">
        <v>0.66</v>
      </c>
      <c r="F64" s="22">
        <v>5</v>
      </c>
      <c r="G64" s="22">
        <v>10</v>
      </c>
      <c r="H64" s="23">
        <v>0.8</v>
      </c>
      <c r="I64" s="22">
        <v>0.92</v>
      </c>
      <c r="J64" s="22">
        <v>10.5</v>
      </c>
      <c r="K64" s="22">
        <v>12.33</v>
      </c>
      <c r="L64" s="22">
        <v>0.09</v>
      </c>
    </row>
    <row r="65" spans="1:12" ht="15.6" x14ac:dyDescent="0.3">
      <c r="A65" s="18">
        <v>9</v>
      </c>
      <c r="B65" s="21" t="s">
        <v>174</v>
      </c>
      <c r="C65" s="22">
        <v>800</v>
      </c>
      <c r="D65" s="22">
        <v>0.84</v>
      </c>
      <c r="E65" s="22">
        <v>0.23</v>
      </c>
      <c r="F65" s="22">
        <v>4</v>
      </c>
      <c r="G65" s="22">
        <v>8</v>
      </c>
      <c r="H65" s="23">
        <v>0.28999999999999998</v>
      </c>
      <c r="I65" s="22">
        <v>0.35</v>
      </c>
      <c r="J65" s="22">
        <v>4.13</v>
      </c>
      <c r="K65" s="22">
        <v>4.9000000000000004</v>
      </c>
      <c r="L65" s="22">
        <v>7.4999999999999997E-2</v>
      </c>
    </row>
    <row r="66" spans="1:12" ht="15.6" x14ac:dyDescent="0.3">
      <c r="A66" s="18">
        <v>10</v>
      </c>
      <c r="B66" s="21" t="s">
        <v>175</v>
      </c>
      <c r="C66" s="22">
        <v>1000</v>
      </c>
      <c r="D66" s="22">
        <v>0.84</v>
      </c>
      <c r="E66" s="22">
        <v>0.33</v>
      </c>
      <c r="F66" s="22">
        <v>4</v>
      </c>
      <c r="G66" s="22">
        <v>8</v>
      </c>
      <c r="H66" s="23">
        <v>0.41</v>
      </c>
      <c r="I66" s="22">
        <v>0.47</v>
      </c>
      <c r="J66" s="22">
        <v>5.49</v>
      </c>
      <c r="K66" s="22">
        <v>6.35</v>
      </c>
      <c r="L66" s="22">
        <v>7.4999999999999997E-2</v>
      </c>
    </row>
    <row r="67" spans="1:12" ht="15.6" x14ac:dyDescent="0.3">
      <c r="A67" s="18">
        <v>11</v>
      </c>
      <c r="B67" s="21" t="s">
        <v>176</v>
      </c>
      <c r="C67" s="22">
        <v>1200</v>
      </c>
      <c r="D67" s="22">
        <v>0.84</v>
      </c>
      <c r="E67" s="22">
        <v>0.41</v>
      </c>
      <c r="F67" s="22">
        <v>4</v>
      </c>
      <c r="G67" s="22">
        <v>8</v>
      </c>
      <c r="H67" s="23">
        <v>0.52</v>
      </c>
      <c r="I67" s="22">
        <v>0.57999999999999996</v>
      </c>
      <c r="J67" s="22">
        <v>6.77</v>
      </c>
      <c r="K67" s="22">
        <v>7.72</v>
      </c>
      <c r="L67" s="22">
        <v>7.4999999999999997E-2</v>
      </c>
    </row>
    <row r="68" spans="1:12" ht="15.6" x14ac:dyDescent="0.3">
      <c r="A68" s="18">
        <v>12</v>
      </c>
      <c r="B68" s="21" t="s">
        <v>177</v>
      </c>
      <c r="C68" s="22">
        <v>800</v>
      </c>
      <c r="D68" s="22">
        <v>0.84</v>
      </c>
      <c r="E68" s="22">
        <v>0.22</v>
      </c>
      <c r="F68" s="22">
        <v>9</v>
      </c>
      <c r="G68" s="22">
        <v>13</v>
      </c>
      <c r="H68" s="23">
        <v>0.28999999999999998</v>
      </c>
      <c r="I68" s="22">
        <v>0.35</v>
      </c>
      <c r="J68" s="22">
        <v>4.54</v>
      </c>
      <c r="K68" s="22">
        <v>5.32</v>
      </c>
      <c r="L68" s="22">
        <v>0.17</v>
      </c>
    </row>
    <row r="69" spans="1:12" ht="15.6" x14ac:dyDescent="0.3">
      <c r="A69" s="18">
        <v>13</v>
      </c>
      <c r="B69" s="21" t="s">
        <v>178</v>
      </c>
      <c r="C69" s="22">
        <v>1000</v>
      </c>
      <c r="D69" s="22">
        <v>0.84</v>
      </c>
      <c r="E69" s="22">
        <v>0.28000000000000003</v>
      </c>
      <c r="F69" s="22">
        <v>9</v>
      </c>
      <c r="G69" s="22">
        <v>13</v>
      </c>
      <c r="H69" s="23">
        <v>0.35</v>
      </c>
      <c r="I69" s="22">
        <v>0.41</v>
      </c>
      <c r="J69" s="22">
        <v>5.57</v>
      </c>
      <c r="K69" s="22">
        <v>6.43</v>
      </c>
      <c r="L69" s="22">
        <v>0.15</v>
      </c>
    </row>
    <row r="70" spans="1:12" ht="15.6" x14ac:dyDescent="0.3">
      <c r="A70" s="18">
        <v>14</v>
      </c>
      <c r="B70" s="21" t="s">
        <v>179</v>
      </c>
      <c r="C70" s="22">
        <v>1000</v>
      </c>
      <c r="D70" s="22">
        <v>0.84</v>
      </c>
      <c r="E70" s="22">
        <v>0.25</v>
      </c>
      <c r="F70" s="22">
        <v>4</v>
      </c>
      <c r="G70" s="22">
        <v>8</v>
      </c>
      <c r="H70" s="23">
        <v>0.33</v>
      </c>
      <c r="I70" s="22">
        <v>0.41</v>
      </c>
      <c r="J70" s="22">
        <v>5.0599999999999996</v>
      </c>
      <c r="K70" s="22">
        <v>5.91</v>
      </c>
      <c r="L70" s="22">
        <v>0.15</v>
      </c>
    </row>
    <row r="71" spans="1:12" ht="15.6" x14ac:dyDescent="0.3">
      <c r="A71" s="18">
        <v>15</v>
      </c>
      <c r="B71" s="21" t="s">
        <v>180</v>
      </c>
      <c r="C71" s="22">
        <v>600</v>
      </c>
      <c r="D71" s="22">
        <v>0.84</v>
      </c>
      <c r="E71" s="22">
        <v>0.12</v>
      </c>
      <c r="F71" s="22">
        <v>10</v>
      </c>
      <c r="G71" s="22">
        <v>15</v>
      </c>
      <c r="H71" s="23">
        <v>0.19</v>
      </c>
      <c r="I71" s="22">
        <v>0.23</v>
      </c>
      <c r="J71" s="22">
        <v>3.24</v>
      </c>
      <c r="K71" s="22">
        <v>3.84</v>
      </c>
      <c r="L71" s="22">
        <v>0.3</v>
      </c>
    </row>
    <row r="72" spans="1:12" ht="15.6" x14ac:dyDescent="0.3">
      <c r="A72" s="18">
        <v>16</v>
      </c>
      <c r="B72" s="21" t="s">
        <v>181</v>
      </c>
      <c r="C72" s="22">
        <v>800</v>
      </c>
      <c r="D72" s="22">
        <v>0.84</v>
      </c>
      <c r="E72" s="22">
        <v>0.16</v>
      </c>
      <c r="F72" s="22">
        <v>10</v>
      </c>
      <c r="G72" s="22">
        <v>15</v>
      </c>
      <c r="H72" s="23">
        <v>0.27</v>
      </c>
      <c r="I72" s="22">
        <v>0.33</v>
      </c>
      <c r="J72" s="22">
        <v>4.45</v>
      </c>
      <c r="K72" s="22">
        <v>5.32</v>
      </c>
      <c r="L72" s="22">
        <v>0.26</v>
      </c>
    </row>
    <row r="73" spans="1:12" ht="15.6" x14ac:dyDescent="0.3">
      <c r="A73" s="18">
        <v>17</v>
      </c>
      <c r="B73" s="21" t="s">
        <v>182</v>
      </c>
      <c r="C73" s="22">
        <v>1000</v>
      </c>
      <c r="D73" s="22">
        <v>0.84</v>
      </c>
      <c r="E73" s="22">
        <v>0.22</v>
      </c>
      <c r="F73" s="22">
        <v>10</v>
      </c>
      <c r="G73" s="22">
        <v>15</v>
      </c>
      <c r="H73" s="23">
        <v>0.33</v>
      </c>
      <c r="I73" s="22">
        <v>0.38</v>
      </c>
      <c r="J73" s="22">
        <v>5.5</v>
      </c>
      <c r="K73" s="22">
        <v>6.38</v>
      </c>
      <c r="L73" s="22">
        <v>0.19</v>
      </c>
    </row>
    <row r="74" spans="1:12" ht="15.6" x14ac:dyDescent="0.3">
      <c r="A74" s="18">
        <v>18</v>
      </c>
      <c r="B74" s="21" t="s">
        <v>183</v>
      </c>
      <c r="C74" s="22">
        <v>1200</v>
      </c>
      <c r="D74" s="22">
        <v>0.84</v>
      </c>
      <c r="E74" s="22">
        <v>0.28999999999999998</v>
      </c>
      <c r="F74" s="22">
        <v>10</v>
      </c>
      <c r="G74" s="22">
        <v>15</v>
      </c>
      <c r="H74" s="23">
        <v>0.44</v>
      </c>
      <c r="I74" s="22">
        <v>0.5</v>
      </c>
      <c r="J74" s="22">
        <v>6.96</v>
      </c>
      <c r="K74" s="22">
        <v>8.01</v>
      </c>
      <c r="L74" s="22">
        <v>0.15</v>
      </c>
    </row>
    <row r="75" spans="1:12" ht="15.6" x14ac:dyDescent="0.3">
      <c r="A75" s="18">
        <v>19</v>
      </c>
      <c r="B75" s="21" t="s">
        <v>184</v>
      </c>
      <c r="C75" s="22">
        <v>1000</v>
      </c>
      <c r="D75" s="22">
        <v>0.84</v>
      </c>
      <c r="E75" s="22">
        <v>0.23</v>
      </c>
      <c r="F75" s="22">
        <v>5</v>
      </c>
      <c r="G75" s="22">
        <v>8</v>
      </c>
      <c r="H75" s="23">
        <v>0.31</v>
      </c>
      <c r="I75" s="22">
        <v>0.37</v>
      </c>
      <c r="J75" s="22">
        <v>4.87</v>
      </c>
      <c r="K75" s="22">
        <v>5.63</v>
      </c>
      <c r="L75" s="22">
        <v>0.11</v>
      </c>
    </row>
    <row r="76" spans="1:12" ht="15.6" x14ac:dyDescent="0.3">
      <c r="A76" s="18">
        <v>20</v>
      </c>
      <c r="B76" s="21" t="s">
        <v>185</v>
      </c>
      <c r="C76" s="22">
        <v>1200</v>
      </c>
      <c r="D76" s="22">
        <v>0.84</v>
      </c>
      <c r="E76" s="22">
        <v>0.28999999999999998</v>
      </c>
      <c r="F76" s="22">
        <v>5</v>
      </c>
      <c r="G76" s="22">
        <v>8</v>
      </c>
      <c r="H76" s="23">
        <v>0.37</v>
      </c>
      <c r="I76" s="22">
        <v>0.44</v>
      </c>
      <c r="J76" s="22">
        <v>5.83</v>
      </c>
      <c r="K76" s="22">
        <v>6.73</v>
      </c>
      <c r="L76" s="22">
        <v>0.11</v>
      </c>
    </row>
    <row r="77" spans="1:12" ht="15.6" x14ac:dyDescent="0.3">
      <c r="A77" s="18">
        <v>21</v>
      </c>
      <c r="B77" s="21" t="s">
        <v>186</v>
      </c>
      <c r="C77" s="22">
        <v>1400</v>
      </c>
      <c r="D77" s="22">
        <v>0.84</v>
      </c>
      <c r="E77" s="22">
        <v>0.35</v>
      </c>
      <c r="F77" s="22">
        <v>5</v>
      </c>
      <c r="G77" s="22">
        <v>8</v>
      </c>
      <c r="H77" s="23">
        <v>0.44</v>
      </c>
      <c r="I77" s="22">
        <v>0.52</v>
      </c>
      <c r="J77" s="22">
        <v>6.87</v>
      </c>
      <c r="K77" s="22">
        <v>7.9</v>
      </c>
      <c r="L77" s="22">
        <v>9.8000000000000004E-2</v>
      </c>
    </row>
    <row r="78" spans="1:12" ht="15.6" x14ac:dyDescent="0.3">
      <c r="A78" s="18">
        <v>22</v>
      </c>
      <c r="B78" s="21" t="s">
        <v>187</v>
      </c>
      <c r="C78" s="22">
        <v>1600</v>
      </c>
      <c r="D78" s="22">
        <v>0.84</v>
      </c>
      <c r="E78" s="22">
        <v>0.41</v>
      </c>
      <c r="F78" s="22">
        <v>5</v>
      </c>
      <c r="G78" s="22">
        <v>8</v>
      </c>
      <c r="H78" s="23">
        <v>0.52</v>
      </c>
      <c r="I78" s="22">
        <v>0.63</v>
      </c>
      <c r="J78" s="22">
        <v>7.98</v>
      </c>
      <c r="K78" s="22">
        <v>9.2899999999999991</v>
      </c>
      <c r="L78" s="22">
        <v>0.09</v>
      </c>
    </row>
    <row r="79" spans="1:12" ht="15.6" x14ac:dyDescent="0.3">
      <c r="A79" s="18">
        <v>23</v>
      </c>
      <c r="B79" s="21" t="s">
        <v>188</v>
      </c>
      <c r="C79" s="22">
        <v>1200</v>
      </c>
      <c r="D79" s="22">
        <v>0.84</v>
      </c>
      <c r="E79" s="22">
        <v>0.35</v>
      </c>
      <c r="F79" s="22">
        <v>5</v>
      </c>
      <c r="G79" s="22">
        <v>8</v>
      </c>
      <c r="H79" s="23">
        <v>0.47</v>
      </c>
      <c r="I79" s="22">
        <v>0.52</v>
      </c>
      <c r="J79" s="22">
        <v>6.57</v>
      </c>
      <c r="K79" s="22">
        <v>7.31</v>
      </c>
      <c r="L79" s="22">
        <v>0.11</v>
      </c>
    </row>
    <row r="80" spans="1:12" ht="15.6" x14ac:dyDescent="0.3">
      <c r="A80" s="18">
        <v>24</v>
      </c>
      <c r="B80" s="21" t="s">
        <v>189</v>
      </c>
      <c r="C80" s="22">
        <v>1400</v>
      </c>
      <c r="D80" s="22">
        <v>0.84</v>
      </c>
      <c r="E80" s="22">
        <v>0.41</v>
      </c>
      <c r="F80" s="22">
        <v>5</v>
      </c>
      <c r="G80" s="22">
        <v>8</v>
      </c>
      <c r="H80" s="23">
        <v>0.52</v>
      </c>
      <c r="I80" s="22">
        <v>0.57999999999999996</v>
      </c>
      <c r="J80" s="22">
        <v>7.46</v>
      </c>
      <c r="K80" s="22">
        <v>8.34</v>
      </c>
      <c r="L80" s="22">
        <v>9.8000000000000004E-2</v>
      </c>
    </row>
    <row r="81" spans="1:12" ht="15.6" x14ac:dyDescent="0.3">
      <c r="A81" s="18">
        <v>25</v>
      </c>
      <c r="B81" s="21" t="s">
        <v>190</v>
      </c>
      <c r="C81" s="22">
        <v>1600</v>
      </c>
      <c r="D81" s="22">
        <v>0.84</v>
      </c>
      <c r="E81" s="22">
        <v>0.47</v>
      </c>
      <c r="F81" s="22">
        <v>5</v>
      </c>
      <c r="G81" s="22">
        <v>8</v>
      </c>
      <c r="H81" s="23">
        <v>0.57999999999999996</v>
      </c>
      <c r="I81" s="22">
        <v>0.64</v>
      </c>
      <c r="J81" s="22">
        <v>8.43</v>
      </c>
      <c r="K81" s="22">
        <v>9.3699999999999992</v>
      </c>
      <c r="L81" s="22">
        <v>0.09</v>
      </c>
    </row>
    <row r="82" spans="1:12" ht="15.6" x14ac:dyDescent="0.3">
      <c r="A82" s="18">
        <v>26</v>
      </c>
      <c r="B82" s="21" t="s">
        <v>191</v>
      </c>
      <c r="C82" s="22">
        <v>1000</v>
      </c>
      <c r="D82" s="22">
        <v>0.84</v>
      </c>
      <c r="E82" s="22">
        <v>0.24</v>
      </c>
      <c r="F82" s="22">
        <v>5</v>
      </c>
      <c r="G82" s="22">
        <v>8</v>
      </c>
      <c r="H82" s="23">
        <v>0.3</v>
      </c>
      <c r="I82" s="22">
        <v>0.35</v>
      </c>
      <c r="J82" s="22">
        <v>4.79</v>
      </c>
      <c r="K82" s="22">
        <v>5.48</v>
      </c>
      <c r="L82" s="22">
        <v>0.12</v>
      </c>
    </row>
    <row r="83" spans="1:12" ht="15.6" x14ac:dyDescent="0.3">
      <c r="A83" s="18">
        <v>27</v>
      </c>
      <c r="B83" s="21" t="s">
        <v>192</v>
      </c>
      <c r="C83" s="22">
        <v>1200</v>
      </c>
      <c r="D83" s="22">
        <v>0.84</v>
      </c>
      <c r="E83" s="22">
        <v>0.35</v>
      </c>
      <c r="F83" s="22">
        <v>5</v>
      </c>
      <c r="G83" s="22">
        <v>8</v>
      </c>
      <c r="H83" s="23">
        <v>0.41</v>
      </c>
      <c r="I83" s="22">
        <v>0.47</v>
      </c>
      <c r="J83" s="22">
        <v>6.14</v>
      </c>
      <c r="K83" s="22">
        <v>6.95</v>
      </c>
      <c r="L83" s="22">
        <v>0.11</v>
      </c>
    </row>
    <row r="84" spans="1:12" ht="15.6" x14ac:dyDescent="0.3">
      <c r="A84" s="18">
        <v>28</v>
      </c>
      <c r="B84" s="21" t="s">
        <v>193</v>
      </c>
      <c r="C84" s="22">
        <v>1400</v>
      </c>
      <c r="D84" s="22">
        <v>0.84</v>
      </c>
      <c r="E84" s="22">
        <v>0.47</v>
      </c>
      <c r="F84" s="22">
        <v>5</v>
      </c>
      <c r="G84" s="22">
        <v>8</v>
      </c>
      <c r="H84" s="23">
        <v>0.52</v>
      </c>
      <c r="I84" s="22">
        <v>0.57999999999999996</v>
      </c>
      <c r="J84" s="22">
        <v>7.46</v>
      </c>
      <c r="K84" s="22">
        <v>8.34</v>
      </c>
      <c r="L84" s="22">
        <v>0.09</v>
      </c>
    </row>
    <row r="85" spans="1:12" ht="17.399999999999999" x14ac:dyDescent="0.3">
      <c r="B85" s="43" t="s">
        <v>210</v>
      </c>
      <c r="C85" s="10"/>
      <c r="D85" s="10"/>
      <c r="E85" s="10"/>
      <c r="F85" s="10"/>
      <c r="G85" s="10"/>
      <c r="H85" s="23">
        <v>1</v>
      </c>
      <c r="I85" s="22">
        <v>1</v>
      </c>
      <c r="J85" s="10"/>
      <c r="K85" s="10"/>
      <c r="L85" s="10"/>
    </row>
    <row r="86" spans="1:12" ht="15.6" x14ac:dyDescent="0.3">
      <c r="A86" s="18">
        <v>1</v>
      </c>
      <c r="B86" s="21" t="s">
        <v>131</v>
      </c>
      <c r="C86" s="22">
        <v>1600</v>
      </c>
      <c r="D86" s="22">
        <v>0.84</v>
      </c>
      <c r="E86" s="22">
        <v>0.47</v>
      </c>
      <c r="F86" s="22">
        <v>2</v>
      </c>
      <c r="G86" s="22">
        <v>4</v>
      </c>
      <c r="H86" s="23">
        <v>0.7</v>
      </c>
      <c r="I86" s="22">
        <v>0.81</v>
      </c>
      <c r="J86" s="22">
        <v>8.69</v>
      </c>
      <c r="K86" s="22">
        <v>9.76</v>
      </c>
      <c r="L86" s="22">
        <v>0.12</v>
      </c>
    </row>
    <row r="87" spans="1:12" ht="15.6" x14ac:dyDescent="0.3">
      <c r="A87" s="18">
        <v>2</v>
      </c>
      <c r="B87" s="21" t="s">
        <v>132</v>
      </c>
      <c r="C87" s="22">
        <v>1700</v>
      </c>
      <c r="D87" s="22">
        <v>0.84</v>
      </c>
      <c r="E87" s="22">
        <v>0.52</v>
      </c>
      <c r="F87" s="22">
        <v>2</v>
      </c>
      <c r="G87" s="22">
        <v>4</v>
      </c>
      <c r="H87" s="23">
        <v>0.7</v>
      </c>
      <c r="I87" s="22">
        <v>0.87</v>
      </c>
      <c r="J87" s="22">
        <v>8.9499999999999993</v>
      </c>
      <c r="K87" s="22">
        <v>10.42</v>
      </c>
      <c r="L87" s="22">
        <v>9.8000000000000004E-2</v>
      </c>
    </row>
    <row r="88" spans="1:12" ht="15.6" x14ac:dyDescent="0.3">
      <c r="A88" s="18">
        <v>3</v>
      </c>
      <c r="B88" s="21" t="s">
        <v>133</v>
      </c>
      <c r="C88" s="22">
        <v>1800</v>
      </c>
      <c r="D88" s="22">
        <v>0.84</v>
      </c>
      <c r="E88" s="22">
        <v>0.57999999999999996</v>
      </c>
      <c r="F88" s="22">
        <v>2</v>
      </c>
      <c r="G88" s="22">
        <v>4</v>
      </c>
      <c r="H88" s="23">
        <v>0.76</v>
      </c>
      <c r="I88" s="22">
        <v>0.93</v>
      </c>
      <c r="J88" s="22">
        <v>9.6</v>
      </c>
      <c r="K88" s="22">
        <v>11.09</v>
      </c>
      <c r="L88" s="22">
        <v>0.09</v>
      </c>
    </row>
    <row r="89" spans="1:12" ht="17.399999999999999" x14ac:dyDescent="0.3">
      <c r="A89" s="18"/>
      <c r="B89" s="43" t="s">
        <v>211</v>
      </c>
      <c r="C89" s="22"/>
      <c r="D89" s="22"/>
      <c r="E89" s="22"/>
      <c r="F89" s="22"/>
      <c r="G89" s="22"/>
      <c r="H89" s="23">
        <v>1</v>
      </c>
      <c r="I89" s="30">
        <v>1</v>
      </c>
      <c r="J89" s="22"/>
      <c r="K89" s="22"/>
      <c r="L89" s="22"/>
    </row>
    <row r="90" spans="1:12" ht="15.6" x14ac:dyDescent="0.3">
      <c r="A90" s="18">
        <v>29</v>
      </c>
      <c r="B90" s="21" t="s">
        <v>134</v>
      </c>
      <c r="C90" s="22">
        <v>2800</v>
      </c>
      <c r="D90" s="22">
        <v>0.88</v>
      </c>
      <c r="E90" s="22">
        <v>3.49</v>
      </c>
      <c r="F90" s="22">
        <v>0</v>
      </c>
      <c r="G90" s="22">
        <v>0</v>
      </c>
      <c r="H90" s="23">
        <v>3.49</v>
      </c>
      <c r="I90" s="30">
        <v>3.49</v>
      </c>
      <c r="J90" s="22">
        <v>25.04</v>
      </c>
      <c r="K90" s="22">
        <v>25.04</v>
      </c>
      <c r="L90" s="22">
        <v>8.0000000000000002E-3</v>
      </c>
    </row>
    <row r="91" spans="1:12" ht="15.6" x14ac:dyDescent="0.3">
      <c r="A91" s="18">
        <v>30</v>
      </c>
      <c r="B91" s="21" t="s">
        <v>145</v>
      </c>
      <c r="C91" s="22">
        <v>2800</v>
      </c>
      <c r="D91" s="22">
        <v>0.88</v>
      </c>
      <c r="E91" s="22">
        <v>2.91</v>
      </c>
      <c r="F91" s="22">
        <v>0</v>
      </c>
      <c r="G91" s="22">
        <v>0</v>
      </c>
      <c r="H91" s="23">
        <v>2.91</v>
      </c>
      <c r="I91" s="30">
        <v>2.91</v>
      </c>
      <c r="J91" s="22">
        <v>22.86</v>
      </c>
      <c r="K91" s="22">
        <v>22.86</v>
      </c>
      <c r="L91" s="22">
        <v>8.0000000000000002E-3</v>
      </c>
    </row>
    <row r="92" spans="1:12" ht="15.6" x14ac:dyDescent="0.3">
      <c r="A92" s="18">
        <v>31</v>
      </c>
      <c r="B92" s="21" t="s">
        <v>135</v>
      </c>
      <c r="C92" s="22">
        <v>1600</v>
      </c>
      <c r="D92" s="22">
        <v>0.88</v>
      </c>
      <c r="E92" s="22">
        <v>0.57999999999999996</v>
      </c>
      <c r="F92" s="22">
        <v>2</v>
      </c>
      <c r="G92" s="22">
        <v>3</v>
      </c>
      <c r="H92" s="23">
        <v>0.73</v>
      </c>
      <c r="I92" s="30">
        <v>0.81</v>
      </c>
      <c r="J92" s="22">
        <v>9.06</v>
      </c>
      <c r="K92" s="22">
        <v>9.75</v>
      </c>
      <c r="L92" s="22">
        <v>0.09</v>
      </c>
    </row>
    <row r="93" spans="1:12" ht="15.6" x14ac:dyDescent="0.3">
      <c r="A93" s="18">
        <v>32</v>
      </c>
      <c r="B93" s="21" t="s">
        <v>136</v>
      </c>
      <c r="C93" s="22">
        <v>1800</v>
      </c>
      <c r="D93" s="22">
        <v>0.88</v>
      </c>
      <c r="E93" s="22">
        <v>0.7</v>
      </c>
      <c r="F93" s="22">
        <v>2</v>
      </c>
      <c r="G93" s="22">
        <v>3</v>
      </c>
      <c r="H93" s="23">
        <v>0.93</v>
      </c>
      <c r="I93" s="30">
        <v>1.05</v>
      </c>
      <c r="J93" s="22">
        <v>10.85</v>
      </c>
      <c r="K93" s="22">
        <v>11.77</v>
      </c>
      <c r="L93" s="22">
        <v>7.4999999999999997E-2</v>
      </c>
    </row>
    <row r="94" spans="1:12" ht="15.6" x14ac:dyDescent="0.3">
      <c r="A94" s="18">
        <v>33</v>
      </c>
      <c r="B94" s="21" t="s">
        <v>137</v>
      </c>
      <c r="C94" s="22">
        <v>2000</v>
      </c>
      <c r="D94" s="22">
        <v>0.88</v>
      </c>
      <c r="E94" s="22">
        <v>0.93</v>
      </c>
      <c r="F94" s="22">
        <v>2</v>
      </c>
      <c r="G94" s="22">
        <v>3</v>
      </c>
      <c r="H94" s="23">
        <v>1.1599999999999999</v>
      </c>
      <c r="I94" s="30">
        <v>1.28</v>
      </c>
      <c r="J94" s="22">
        <v>12.77</v>
      </c>
      <c r="K94" s="22">
        <v>13.7</v>
      </c>
      <c r="L94" s="22">
        <v>0.06</v>
      </c>
    </row>
    <row r="95" spans="1:12" ht="15.6" x14ac:dyDescent="0.3">
      <c r="A95" s="18">
        <v>34</v>
      </c>
      <c r="B95" s="21" t="s">
        <v>144</v>
      </c>
      <c r="C95" s="22">
        <v>1000</v>
      </c>
      <c r="D95" s="22">
        <v>0.88</v>
      </c>
      <c r="E95" s="22">
        <v>0.21</v>
      </c>
      <c r="F95" s="22">
        <v>3</v>
      </c>
      <c r="G95" s="22">
        <v>5</v>
      </c>
      <c r="H95" s="23">
        <v>0.24</v>
      </c>
      <c r="I95" s="30">
        <v>0.28999999999999998</v>
      </c>
      <c r="J95" s="22">
        <v>4.2</v>
      </c>
      <c r="K95" s="22">
        <v>4.8</v>
      </c>
      <c r="L95" s="22">
        <v>0.11</v>
      </c>
    </row>
    <row r="96" spans="1:12" ht="15.6" x14ac:dyDescent="0.3">
      <c r="A96" s="18">
        <v>35</v>
      </c>
      <c r="B96" s="21" t="s">
        <v>138</v>
      </c>
      <c r="C96" s="22">
        <v>1200</v>
      </c>
      <c r="D96" s="22">
        <v>0.88</v>
      </c>
      <c r="E96" s="22">
        <v>0.27</v>
      </c>
      <c r="F96" s="22">
        <v>3</v>
      </c>
      <c r="G96" s="22">
        <v>5</v>
      </c>
      <c r="H96" s="23">
        <v>0.35</v>
      </c>
      <c r="I96" s="30">
        <v>0.41</v>
      </c>
      <c r="J96" s="22">
        <v>5.55</v>
      </c>
      <c r="K96" s="22">
        <v>6.25</v>
      </c>
      <c r="L96" s="22">
        <v>0.11</v>
      </c>
    </row>
    <row r="97" spans="1:12" ht="15.6" x14ac:dyDescent="0.3">
      <c r="A97" s="18">
        <v>36</v>
      </c>
      <c r="B97" s="21" t="s">
        <v>139</v>
      </c>
      <c r="C97" s="22">
        <v>1400</v>
      </c>
      <c r="D97" s="22">
        <v>0.88</v>
      </c>
      <c r="E97" s="22">
        <v>0.33</v>
      </c>
      <c r="F97" s="22">
        <v>3</v>
      </c>
      <c r="G97" s="22">
        <v>5</v>
      </c>
      <c r="H97" s="23">
        <v>0.43</v>
      </c>
      <c r="I97" s="30">
        <v>0.52</v>
      </c>
      <c r="J97" s="22">
        <v>6.64</v>
      </c>
      <c r="K97" s="22">
        <v>7.6</v>
      </c>
      <c r="L97" s="22">
        <v>9.8000000000000004E-2</v>
      </c>
    </row>
    <row r="98" spans="1:12" ht="15.6" x14ac:dyDescent="0.3">
      <c r="A98" s="18">
        <v>37</v>
      </c>
      <c r="B98" s="21" t="s">
        <v>140</v>
      </c>
      <c r="C98" s="22">
        <v>1600</v>
      </c>
      <c r="D98" s="22">
        <v>0.88</v>
      </c>
      <c r="E98" s="22">
        <v>0.41</v>
      </c>
      <c r="F98" s="22">
        <v>3</v>
      </c>
      <c r="G98" s="22">
        <v>5</v>
      </c>
      <c r="H98" s="23">
        <v>0.52</v>
      </c>
      <c r="I98" s="30">
        <v>0.64</v>
      </c>
      <c r="J98" s="22">
        <v>7.81</v>
      </c>
      <c r="K98" s="22">
        <v>9.02</v>
      </c>
      <c r="L98" s="22">
        <v>0.09</v>
      </c>
    </row>
    <row r="99" spans="1:12" ht="15.6" x14ac:dyDescent="0.3">
      <c r="A99" s="18">
        <v>38</v>
      </c>
      <c r="B99" s="21" t="s">
        <v>142</v>
      </c>
      <c r="C99" s="22">
        <v>1800</v>
      </c>
      <c r="D99" s="22">
        <v>0.88</v>
      </c>
      <c r="E99" s="22">
        <v>0.56000000000000005</v>
      </c>
      <c r="F99" s="22">
        <v>3</v>
      </c>
      <c r="G99" s="22">
        <v>5</v>
      </c>
      <c r="H99" s="23">
        <v>0.7</v>
      </c>
      <c r="I99" s="30">
        <v>0.81</v>
      </c>
      <c r="J99" s="22">
        <v>9.61</v>
      </c>
      <c r="K99" s="22">
        <v>10.76</v>
      </c>
      <c r="L99" s="22">
        <v>8.3000000000000004E-2</v>
      </c>
    </row>
    <row r="100" spans="1:12" ht="15.6" x14ac:dyDescent="0.3">
      <c r="A100" s="18">
        <v>39</v>
      </c>
      <c r="B100" s="21" t="s">
        <v>143</v>
      </c>
      <c r="C100" s="22">
        <v>2000</v>
      </c>
      <c r="D100" s="22">
        <v>0.88</v>
      </c>
      <c r="E100" s="22">
        <v>0.76</v>
      </c>
      <c r="F100" s="22">
        <v>3</v>
      </c>
      <c r="G100" s="22">
        <v>5</v>
      </c>
      <c r="H100" s="23">
        <v>0.93</v>
      </c>
      <c r="I100" s="30">
        <v>1.05</v>
      </c>
      <c r="J100" s="22">
        <v>11.68</v>
      </c>
      <c r="K100" s="22">
        <v>12.92</v>
      </c>
      <c r="L100" s="22">
        <v>7.4999999999999997E-2</v>
      </c>
    </row>
    <row r="101" spans="1:12" ht="15.6" x14ac:dyDescent="0.3">
      <c r="A101" s="18">
        <v>40</v>
      </c>
      <c r="B101" s="21" t="s">
        <v>141</v>
      </c>
      <c r="C101" s="22">
        <v>2000</v>
      </c>
      <c r="D101" s="22">
        <v>0.88</v>
      </c>
      <c r="E101" s="22">
        <v>0.89</v>
      </c>
      <c r="F101" s="22">
        <v>3</v>
      </c>
      <c r="G101" s="22">
        <v>5</v>
      </c>
      <c r="H101" s="23">
        <v>0.96</v>
      </c>
      <c r="I101" s="30">
        <v>1.1000000000000001</v>
      </c>
      <c r="J101" s="22">
        <v>11.63</v>
      </c>
      <c r="K101" s="22">
        <v>12.55</v>
      </c>
      <c r="L101" s="22">
        <v>0.06</v>
      </c>
    </row>
    <row r="102" spans="1:12" ht="17.399999999999999" x14ac:dyDescent="0.3">
      <c r="B102" s="43" t="s">
        <v>238</v>
      </c>
      <c r="C102" s="10"/>
      <c r="D102" s="10"/>
      <c r="E102" s="10"/>
      <c r="F102" s="10"/>
      <c r="G102" s="10"/>
      <c r="H102" s="23">
        <v>1</v>
      </c>
      <c r="I102" s="22">
        <v>1</v>
      </c>
      <c r="J102" s="10"/>
      <c r="K102" s="10"/>
      <c r="L102" s="10"/>
    </row>
    <row r="103" spans="1:12" ht="15.6" x14ac:dyDescent="0.3">
      <c r="A103" s="18">
        <v>1</v>
      </c>
      <c r="B103" s="21" t="s">
        <v>478</v>
      </c>
      <c r="C103" s="22">
        <v>1600</v>
      </c>
      <c r="D103" s="22">
        <v>0.84</v>
      </c>
      <c r="E103" s="22">
        <v>0.23</v>
      </c>
      <c r="F103" s="22">
        <v>2</v>
      </c>
      <c r="G103" s="22">
        <v>3</v>
      </c>
      <c r="H103" s="23">
        <v>0.35</v>
      </c>
      <c r="I103" s="22">
        <v>0.41</v>
      </c>
      <c r="J103" s="22">
        <v>6.14</v>
      </c>
      <c r="K103" s="22">
        <v>6.8</v>
      </c>
      <c r="L103" s="22">
        <v>0.03</v>
      </c>
    </row>
    <row r="104" spans="1:12" ht="15.6" x14ac:dyDescent="0.3">
      <c r="A104" s="18">
        <v>2</v>
      </c>
      <c r="B104" s="21" t="s">
        <v>479</v>
      </c>
      <c r="C104" s="22">
        <v>1800</v>
      </c>
      <c r="D104" s="22">
        <v>0.84</v>
      </c>
      <c r="E104" s="22">
        <v>0.35</v>
      </c>
      <c r="F104" s="22">
        <v>2</v>
      </c>
      <c r="G104" s="22">
        <v>3</v>
      </c>
      <c r="H104" s="23">
        <v>0.47</v>
      </c>
      <c r="I104" s="22">
        <v>0.52</v>
      </c>
      <c r="J104" s="22">
        <v>7.55</v>
      </c>
      <c r="K104" s="22">
        <v>8.1199999999999992</v>
      </c>
      <c r="L104" s="22">
        <v>0.03</v>
      </c>
    </row>
    <row r="105" spans="1:12" ht="15.6" x14ac:dyDescent="0.3">
      <c r="A105" s="18">
        <v>6</v>
      </c>
      <c r="B105" s="21" t="s">
        <v>480</v>
      </c>
      <c r="C105" s="22">
        <v>2100</v>
      </c>
      <c r="D105" s="22">
        <v>1.68</v>
      </c>
      <c r="E105" s="22">
        <v>1.05</v>
      </c>
      <c r="F105" s="22">
        <v>0</v>
      </c>
      <c r="G105" s="22">
        <v>0</v>
      </c>
      <c r="H105" s="23">
        <v>1.05</v>
      </c>
      <c r="I105" s="22">
        <v>1.05</v>
      </c>
      <c r="J105" s="22">
        <v>16.43</v>
      </c>
      <c r="K105" s="22">
        <v>16.43</v>
      </c>
      <c r="L105" s="22">
        <v>8.0000000000000002E-3</v>
      </c>
    </row>
    <row r="106" spans="1:12" ht="15.6" x14ac:dyDescent="0.3">
      <c r="A106" s="18">
        <v>6</v>
      </c>
      <c r="B106" s="49" t="s">
        <v>197</v>
      </c>
      <c r="C106" s="10"/>
      <c r="D106" s="10"/>
      <c r="E106" s="10"/>
      <c r="F106" s="10"/>
      <c r="G106" s="10"/>
      <c r="H106" s="23">
        <v>1</v>
      </c>
      <c r="I106" s="22">
        <v>1</v>
      </c>
      <c r="J106" s="22"/>
      <c r="K106" s="22"/>
      <c r="L106" s="22">
        <v>1</v>
      </c>
    </row>
    <row r="107" spans="1:12" ht="15.6" x14ac:dyDescent="0.3">
      <c r="B107" s="56">
        <v>101</v>
      </c>
      <c r="H107" s="26"/>
      <c r="I107" s="24"/>
      <c r="J107" s="24"/>
      <c r="K107" s="24"/>
      <c r="L107" s="24"/>
    </row>
    <row r="108" spans="1:12" x14ac:dyDescent="0.3">
      <c r="B108" s="57">
        <v>101</v>
      </c>
    </row>
    <row r="110" spans="1:12" x14ac:dyDescent="0.3">
      <c r="B110" s="59" t="str">
        <f>INDEX(B6:B106,$B$107)</f>
        <v>Немає</v>
      </c>
      <c r="C110" s="60">
        <f t="shared" ref="C110:L110" si="0">INDEX(C6:C106,$B$107)</f>
        <v>0</v>
      </c>
      <c r="D110" s="59">
        <f t="shared" si="0"/>
        <v>0</v>
      </c>
      <c r="E110" s="59">
        <f t="shared" si="0"/>
        <v>0</v>
      </c>
      <c r="F110" s="59">
        <f t="shared" si="0"/>
        <v>0</v>
      </c>
      <c r="G110" s="59">
        <f t="shared" si="0"/>
        <v>0</v>
      </c>
      <c r="H110" s="59">
        <f t="shared" si="0"/>
        <v>1</v>
      </c>
      <c r="I110" s="60">
        <f t="shared" si="0"/>
        <v>1</v>
      </c>
      <c r="J110" s="59">
        <f t="shared" si="0"/>
        <v>0</v>
      </c>
      <c r="K110" s="59">
        <f t="shared" si="0"/>
        <v>0</v>
      </c>
      <c r="L110" s="59">
        <f t="shared" si="0"/>
        <v>1</v>
      </c>
    </row>
    <row r="111" spans="1:12" x14ac:dyDescent="0.3">
      <c r="B111" s="59" t="str">
        <f>INDEX(B6:B106,$B$108)</f>
        <v>Немає</v>
      </c>
      <c r="C111" s="60">
        <f t="shared" ref="C111:L111" si="1">INDEX(C6:C106,$B$108)</f>
        <v>0</v>
      </c>
      <c r="D111" s="59">
        <f t="shared" si="1"/>
        <v>0</v>
      </c>
      <c r="E111" s="59">
        <f t="shared" si="1"/>
        <v>0</v>
      </c>
      <c r="F111" s="59">
        <f t="shared" si="1"/>
        <v>0</v>
      </c>
      <c r="G111" s="59">
        <f t="shared" si="1"/>
        <v>0</v>
      </c>
      <c r="H111" s="59">
        <f t="shared" si="1"/>
        <v>1</v>
      </c>
      <c r="I111" s="60">
        <f t="shared" si="1"/>
        <v>1</v>
      </c>
      <c r="J111" s="59">
        <f t="shared" si="1"/>
        <v>0</v>
      </c>
      <c r="K111" s="59">
        <f t="shared" si="1"/>
        <v>0</v>
      </c>
      <c r="L111" s="59">
        <f t="shared" si="1"/>
        <v>1</v>
      </c>
    </row>
  </sheetData>
  <mergeCells count="6">
    <mergeCell ref="B2:B3"/>
    <mergeCell ref="C2:E2"/>
    <mergeCell ref="F2:G3"/>
    <mergeCell ref="H2:L2"/>
    <mergeCell ref="H3:I3"/>
    <mergeCell ref="J3:K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284"/>
  <sheetViews>
    <sheetView topLeftCell="A280" zoomScaleNormal="100" workbookViewId="0">
      <selection activeCell="C279" sqref="C279"/>
    </sheetView>
  </sheetViews>
  <sheetFormatPr defaultColWidth="9.109375" defaultRowHeight="14.4" x14ac:dyDescent="0.3"/>
  <cols>
    <col min="1" max="2" width="9.109375" style="9"/>
    <col min="3" max="3" width="131.44140625" style="25" customWidth="1"/>
    <col min="4" max="16384" width="9.109375" style="9"/>
  </cols>
  <sheetData>
    <row r="2" spans="1:13" ht="15" customHeight="1" x14ac:dyDescent="0.3">
      <c r="C2" s="86" t="s">
        <v>39</v>
      </c>
      <c r="D2" s="88" t="s">
        <v>40</v>
      </c>
      <c r="E2" s="88"/>
      <c r="F2" s="88"/>
      <c r="G2" s="88" t="s">
        <v>41</v>
      </c>
      <c r="H2" s="88"/>
      <c r="I2" s="88" t="s">
        <v>42</v>
      </c>
      <c r="J2" s="88"/>
      <c r="K2" s="88"/>
      <c r="L2" s="88"/>
      <c r="M2" s="88"/>
    </row>
    <row r="3" spans="1:13" ht="25.5" customHeight="1" x14ac:dyDescent="0.3">
      <c r="C3" s="87"/>
      <c r="D3" s="11" t="s">
        <v>43</v>
      </c>
      <c r="E3" s="11" t="s">
        <v>44</v>
      </c>
      <c r="F3" s="11" t="s">
        <v>45</v>
      </c>
      <c r="G3" s="88"/>
      <c r="H3" s="88"/>
      <c r="I3" s="88" t="s">
        <v>46</v>
      </c>
      <c r="J3" s="88"/>
      <c r="K3" s="88" t="s">
        <v>47</v>
      </c>
      <c r="L3" s="88"/>
      <c r="M3" s="11" t="s">
        <v>48</v>
      </c>
    </row>
    <row r="4" spans="1:13" ht="15.6" x14ac:dyDescent="0.25">
      <c r="C4" s="12"/>
      <c r="D4" s="13"/>
      <c r="E4" s="13"/>
      <c r="F4" s="13"/>
      <c r="G4" s="14" t="s">
        <v>49</v>
      </c>
      <c r="H4" s="14" t="s">
        <v>50</v>
      </c>
      <c r="I4" s="15" t="s">
        <v>49</v>
      </c>
      <c r="J4" s="14" t="s">
        <v>50</v>
      </c>
      <c r="K4" s="14" t="s">
        <v>49</v>
      </c>
      <c r="L4" s="14" t="s">
        <v>50</v>
      </c>
      <c r="M4" s="14" t="s">
        <v>51</v>
      </c>
    </row>
    <row r="5" spans="1:13" x14ac:dyDescent="0.3">
      <c r="C5" s="16">
        <v>1</v>
      </c>
      <c r="D5" s="16">
        <v>2</v>
      </c>
      <c r="E5" s="16">
        <v>4</v>
      </c>
      <c r="F5" s="16">
        <v>5</v>
      </c>
      <c r="G5" s="16">
        <v>6</v>
      </c>
      <c r="H5" s="16">
        <v>7</v>
      </c>
      <c r="I5" s="17">
        <v>8</v>
      </c>
      <c r="J5" s="16">
        <v>9</v>
      </c>
      <c r="K5" s="16">
        <v>10</v>
      </c>
      <c r="L5" s="16">
        <v>11</v>
      </c>
      <c r="M5" s="16">
        <v>12</v>
      </c>
    </row>
    <row r="6" spans="1:13" ht="15.6" x14ac:dyDescent="0.3">
      <c r="C6" s="45" t="s">
        <v>217</v>
      </c>
      <c r="D6" s="46"/>
      <c r="E6" s="46"/>
      <c r="F6" s="46"/>
      <c r="G6" s="46"/>
      <c r="H6" s="46"/>
      <c r="I6" s="47"/>
      <c r="J6" s="46"/>
      <c r="K6" s="46"/>
      <c r="L6" s="46"/>
      <c r="M6" s="46"/>
    </row>
    <row r="7" spans="1:13" ht="15.6" x14ac:dyDescent="0.3">
      <c r="A7" s="9">
        <v>1</v>
      </c>
      <c r="B7" s="18">
        <v>1</v>
      </c>
      <c r="C7" s="48" t="s">
        <v>218</v>
      </c>
      <c r="D7" s="18">
        <v>75</v>
      </c>
      <c r="E7" s="18">
        <v>0.84</v>
      </c>
      <c r="F7" s="18">
        <v>4.7E-2</v>
      </c>
      <c r="G7" s="18">
        <v>2</v>
      </c>
      <c r="H7" s="18">
        <v>5</v>
      </c>
      <c r="I7" s="19">
        <v>5.5E-2</v>
      </c>
      <c r="J7" s="18">
        <v>6.2E-2</v>
      </c>
      <c r="K7" s="18">
        <v>0.55000000000000004</v>
      </c>
      <c r="L7" s="18">
        <v>0.61</v>
      </c>
      <c r="M7" s="18">
        <v>0.55000000000000004</v>
      </c>
    </row>
    <row r="8" spans="1:13" ht="15.6" x14ac:dyDescent="0.3">
      <c r="A8" s="9">
        <v>2</v>
      </c>
      <c r="B8" s="18">
        <v>2</v>
      </c>
      <c r="C8" s="48" t="s">
        <v>219</v>
      </c>
      <c r="D8" s="18">
        <v>125</v>
      </c>
      <c r="E8" s="18">
        <v>0.84</v>
      </c>
      <c r="F8" s="18">
        <v>4.9000000000000002E-2</v>
      </c>
      <c r="G8" s="18">
        <v>2</v>
      </c>
      <c r="H8" s="18">
        <v>5</v>
      </c>
      <c r="I8" s="19">
        <v>0.06</v>
      </c>
      <c r="J8" s="18">
        <v>7.0000000000000007E-2</v>
      </c>
      <c r="K8" s="18">
        <v>0.73</v>
      </c>
      <c r="L8" s="18">
        <v>0.82</v>
      </c>
      <c r="M8" s="18">
        <v>0.49</v>
      </c>
    </row>
    <row r="9" spans="1:13" ht="15.6" x14ac:dyDescent="0.3">
      <c r="A9" s="9">
        <v>3</v>
      </c>
      <c r="B9" s="18">
        <v>3</v>
      </c>
      <c r="C9" s="48" t="s">
        <v>221</v>
      </c>
      <c r="D9" s="18">
        <v>150</v>
      </c>
      <c r="E9" s="18">
        <v>0.84</v>
      </c>
      <c r="F9" s="18">
        <v>4.3999999999999997E-2</v>
      </c>
      <c r="G9" s="18">
        <v>2</v>
      </c>
      <c r="H9" s="18">
        <v>5</v>
      </c>
      <c r="I9" s="19">
        <v>5.5E-2</v>
      </c>
      <c r="J9" s="18">
        <v>6.6000000000000003E-2</v>
      </c>
      <c r="K9" s="18">
        <v>0.75</v>
      </c>
      <c r="L9" s="18">
        <v>0.87</v>
      </c>
      <c r="M9" s="18">
        <v>0.45</v>
      </c>
    </row>
    <row r="10" spans="1:13" ht="15.6" x14ac:dyDescent="0.3">
      <c r="A10" s="9">
        <v>4</v>
      </c>
      <c r="B10" s="18">
        <v>4</v>
      </c>
      <c r="C10" s="48" t="s">
        <v>222</v>
      </c>
      <c r="D10" s="18">
        <v>175</v>
      </c>
      <c r="E10" s="18">
        <v>0.84</v>
      </c>
      <c r="F10" s="18">
        <v>4.5999999999999999E-2</v>
      </c>
      <c r="G10" s="18">
        <v>2</v>
      </c>
      <c r="H10" s="18">
        <v>5</v>
      </c>
      <c r="I10" s="19">
        <v>5.8000000000000003E-2</v>
      </c>
      <c r="J10" s="18">
        <v>7.1999999999999995E-2</v>
      </c>
      <c r="K10" s="18">
        <v>0.83</v>
      </c>
      <c r="L10" s="18">
        <v>0.98</v>
      </c>
      <c r="M10" s="18">
        <v>0.41</v>
      </c>
    </row>
    <row r="11" spans="1:13" ht="15.6" x14ac:dyDescent="0.3">
      <c r="A11" s="9">
        <v>5</v>
      </c>
      <c r="B11" s="18">
        <v>5</v>
      </c>
      <c r="C11" s="48" t="s">
        <v>223</v>
      </c>
      <c r="D11" s="18">
        <v>200</v>
      </c>
      <c r="E11" s="18">
        <v>0.84</v>
      </c>
      <c r="F11" s="18">
        <v>4.9000000000000002E-2</v>
      </c>
      <c r="G11" s="18">
        <v>2</v>
      </c>
      <c r="H11" s="18">
        <v>5</v>
      </c>
      <c r="I11" s="19">
        <v>6.4000000000000001E-2</v>
      </c>
      <c r="J11" s="18">
        <v>8.1000000000000003E-2</v>
      </c>
      <c r="K11" s="18">
        <v>0.93</v>
      </c>
      <c r="L11" s="18">
        <v>1.1100000000000001</v>
      </c>
      <c r="M11" s="18">
        <v>0.37</v>
      </c>
    </row>
    <row r="12" spans="1:13" ht="15.6" x14ac:dyDescent="0.3">
      <c r="A12" s="9">
        <v>6</v>
      </c>
      <c r="B12" s="18">
        <v>6</v>
      </c>
      <c r="C12" s="48" t="s">
        <v>225</v>
      </c>
      <c r="D12" s="18">
        <v>175</v>
      </c>
      <c r="E12" s="18">
        <v>0.84</v>
      </c>
      <c r="F12" s="18">
        <v>5.0999999999999997E-2</v>
      </c>
      <c r="G12" s="18">
        <v>2</v>
      </c>
      <c r="H12" s="18">
        <v>5</v>
      </c>
      <c r="I12" s="19">
        <v>6.5000000000000002E-2</v>
      </c>
      <c r="J12" s="18">
        <v>7.9000000000000001E-2</v>
      </c>
      <c r="K12" s="18">
        <v>0.88</v>
      </c>
      <c r="L12" s="18">
        <v>1.04</v>
      </c>
      <c r="M12" s="18">
        <v>0.4</v>
      </c>
    </row>
    <row r="13" spans="1:13" ht="15.6" x14ac:dyDescent="0.3">
      <c r="A13" s="9">
        <v>7</v>
      </c>
      <c r="B13" s="18">
        <v>7</v>
      </c>
      <c r="C13" s="48" t="s">
        <v>226</v>
      </c>
      <c r="D13" s="18">
        <v>200</v>
      </c>
      <c r="E13" s="18">
        <v>0.84</v>
      </c>
      <c r="F13" s="18">
        <v>5.2999999999999999E-2</v>
      </c>
      <c r="G13" s="18">
        <v>2</v>
      </c>
      <c r="H13" s="18">
        <v>5</v>
      </c>
      <c r="I13" s="19">
        <v>7.0999999999999994E-2</v>
      </c>
      <c r="J13" s="18">
        <v>8.6999999999999994E-2</v>
      </c>
      <c r="K13" s="18">
        <v>0.98</v>
      </c>
      <c r="L13" s="18">
        <v>1.1599999999999999</v>
      </c>
      <c r="M13" s="18">
        <v>0.36</v>
      </c>
    </row>
    <row r="14" spans="1:13" ht="15.6" x14ac:dyDescent="0.3">
      <c r="A14" s="9">
        <v>8</v>
      </c>
      <c r="B14" s="18">
        <v>8</v>
      </c>
      <c r="C14" s="48" t="s">
        <v>227</v>
      </c>
      <c r="D14" s="18">
        <v>70</v>
      </c>
      <c r="E14" s="18">
        <v>0.84</v>
      </c>
      <c r="F14" s="18">
        <v>4.2000000000000003E-2</v>
      </c>
      <c r="G14" s="18">
        <v>2</v>
      </c>
      <c r="H14" s="18">
        <v>5</v>
      </c>
      <c r="I14" s="19">
        <v>0.05</v>
      </c>
      <c r="J14" s="18">
        <v>5.5E-2</v>
      </c>
      <c r="K14" s="18">
        <v>0.49</v>
      </c>
      <c r="L14" s="18">
        <v>0.54</v>
      </c>
      <c r="M14" s="18">
        <v>0.54</v>
      </c>
    </row>
    <row r="15" spans="1:13" ht="15.6" x14ac:dyDescent="0.3">
      <c r="A15" s="9">
        <v>9</v>
      </c>
      <c r="B15" s="18">
        <v>9</v>
      </c>
      <c r="C15" s="48" t="s">
        <v>228</v>
      </c>
      <c r="D15" s="18">
        <v>100</v>
      </c>
      <c r="E15" s="18">
        <v>0.84</v>
      </c>
      <c r="F15" s="18">
        <v>4.2999999999999997E-2</v>
      </c>
      <c r="G15" s="18">
        <v>2</v>
      </c>
      <c r="H15" s="18">
        <v>5</v>
      </c>
      <c r="I15" s="19">
        <v>5.2999999999999999E-2</v>
      </c>
      <c r="J15" s="18">
        <v>0.06</v>
      </c>
      <c r="K15" s="18">
        <v>0.6</v>
      </c>
      <c r="L15" s="18">
        <v>0.68</v>
      </c>
      <c r="M15" s="18">
        <v>0.48</v>
      </c>
    </row>
    <row r="16" spans="1:13" ht="15.6" x14ac:dyDescent="0.3">
      <c r="A16" s="9">
        <v>10</v>
      </c>
      <c r="B16" s="18">
        <v>10</v>
      </c>
      <c r="C16" s="48" t="s">
        <v>229</v>
      </c>
      <c r="D16" s="18">
        <v>170</v>
      </c>
      <c r="E16" s="18">
        <v>0.84</v>
      </c>
      <c r="F16" s="18">
        <v>4.4999999999999998E-2</v>
      </c>
      <c r="G16" s="18">
        <v>2</v>
      </c>
      <c r="H16" s="18">
        <v>5</v>
      </c>
      <c r="I16" s="19">
        <v>5.8999999999999997E-2</v>
      </c>
      <c r="J16" s="18">
        <v>7.0000000000000007E-2</v>
      </c>
      <c r="K16" s="18">
        <v>0.82</v>
      </c>
      <c r="L16" s="18">
        <v>0.97</v>
      </c>
      <c r="M16" s="18">
        <v>0.41</v>
      </c>
    </row>
    <row r="17" spans="1:13" ht="15.6" x14ac:dyDescent="0.3">
      <c r="A17" s="9">
        <v>11</v>
      </c>
      <c r="B17" s="18">
        <v>11</v>
      </c>
      <c r="C17" s="48" t="s">
        <v>230</v>
      </c>
      <c r="D17" s="18">
        <v>150</v>
      </c>
      <c r="E17" s="18">
        <v>0.84</v>
      </c>
      <c r="F17" s="18">
        <v>4.3999999999999997E-2</v>
      </c>
      <c r="G17" s="18">
        <v>2</v>
      </c>
      <c r="H17" s="18">
        <v>5</v>
      </c>
      <c r="I17" s="19">
        <v>5.3999999999999999E-2</v>
      </c>
      <c r="J17" s="18">
        <v>6.4000000000000001E-2</v>
      </c>
      <c r="K17" s="18">
        <v>0.76</v>
      </c>
      <c r="L17" s="18">
        <v>0.88</v>
      </c>
      <c r="M17" s="18">
        <v>0.45</v>
      </c>
    </row>
    <row r="18" spans="1:13" ht="15.6" x14ac:dyDescent="0.3">
      <c r="A18" s="9">
        <v>12</v>
      </c>
      <c r="B18" s="18">
        <v>12</v>
      </c>
      <c r="C18" s="48" t="s">
        <v>231</v>
      </c>
      <c r="D18" s="18">
        <v>170</v>
      </c>
      <c r="E18" s="18">
        <v>0.84</v>
      </c>
      <c r="F18" s="18">
        <v>4.4999999999999998E-2</v>
      </c>
      <c r="G18" s="18">
        <v>2</v>
      </c>
      <c r="H18" s="18">
        <v>5</v>
      </c>
      <c r="I18" s="19">
        <v>5.5E-2</v>
      </c>
      <c r="J18" s="18">
        <v>6.5000000000000002E-2</v>
      </c>
      <c r="K18" s="18">
        <v>0.82</v>
      </c>
      <c r="L18" s="18">
        <v>0.97</v>
      </c>
      <c r="M18" s="18">
        <v>0.42</v>
      </c>
    </row>
    <row r="19" spans="1:13" ht="15.6" x14ac:dyDescent="0.3">
      <c r="A19" s="9">
        <v>13</v>
      </c>
      <c r="B19" s="18">
        <v>13</v>
      </c>
      <c r="C19" s="48" t="s">
        <v>232</v>
      </c>
      <c r="D19" s="18">
        <v>180</v>
      </c>
      <c r="E19" s="18">
        <v>0.84</v>
      </c>
      <c r="F19" s="18">
        <v>4.5999999999999999E-2</v>
      </c>
      <c r="G19" s="18">
        <v>2</v>
      </c>
      <c r="H19" s="18">
        <v>5</v>
      </c>
      <c r="I19" s="19">
        <v>5.6000000000000001E-2</v>
      </c>
      <c r="J19" s="18">
        <v>6.6000000000000003E-2</v>
      </c>
      <c r="K19" s="18">
        <v>0.86</v>
      </c>
      <c r="L19" s="18">
        <v>1.02</v>
      </c>
      <c r="M19" s="18">
        <v>0.4</v>
      </c>
    </row>
    <row r="20" spans="1:13" ht="15.6" x14ac:dyDescent="0.3">
      <c r="A20" s="9">
        <v>14</v>
      </c>
      <c r="B20" s="18">
        <v>14</v>
      </c>
      <c r="C20" s="48" t="s">
        <v>233</v>
      </c>
      <c r="D20" s="18">
        <v>20</v>
      </c>
      <c r="E20" s="18">
        <v>0.84</v>
      </c>
      <c r="F20" s="18">
        <v>4.3999999999999997E-2</v>
      </c>
      <c r="G20" s="18">
        <v>0.5</v>
      </c>
      <c r="H20" s="18">
        <v>1</v>
      </c>
      <c r="I20" s="19">
        <v>4.8000000000000001E-2</v>
      </c>
      <c r="J20" s="18">
        <v>4.9000000000000002E-2</v>
      </c>
      <c r="K20" s="18">
        <v>0.25</v>
      </c>
      <c r="L20" s="18">
        <v>0.26</v>
      </c>
      <c r="M20" s="18">
        <v>0.56000000000000005</v>
      </c>
    </row>
    <row r="21" spans="1:13" ht="15.6" x14ac:dyDescent="0.3">
      <c r="A21" s="9">
        <v>15</v>
      </c>
      <c r="B21" s="18">
        <v>15</v>
      </c>
      <c r="C21" s="48" t="s">
        <v>234</v>
      </c>
      <c r="D21" s="18">
        <v>30</v>
      </c>
      <c r="E21" s="18">
        <v>0.84</v>
      </c>
      <c r="F21" s="18">
        <v>4.2999999999999997E-2</v>
      </c>
      <c r="G21" s="18">
        <v>0.5</v>
      </c>
      <c r="H21" s="18">
        <v>1</v>
      </c>
      <c r="I21" s="19">
        <v>4.5999999999999999E-2</v>
      </c>
      <c r="J21" s="18">
        <v>4.7E-2</v>
      </c>
      <c r="K21" s="18">
        <v>0.3</v>
      </c>
      <c r="L21" s="18">
        <v>0.31</v>
      </c>
      <c r="M21" s="18">
        <v>0.55000000000000004</v>
      </c>
    </row>
    <row r="22" spans="1:13" ht="15.6" x14ac:dyDescent="0.3">
      <c r="A22" s="9">
        <v>16</v>
      </c>
      <c r="B22" s="18">
        <v>16</v>
      </c>
      <c r="C22" s="48" t="s">
        <v>235</v>
      </c>
      <c r="D22" s="18">
        <v>50</v>
      </c>
      <c r="E22" s="18">
        <v>0.84</v>
      </c>
      <c r="F22" s="18">
        <v>4.2000000000000003E-2</v>
      </c>
      <c r="G22" s="18">
        <v>0.5</v>
      </c>
      <c r="H22" s="18">
        <v>1</v>
      </c>
      <c r="I22" s="19">
        <v>4.4999999999999998E-2</v>
      </c>
      <c r="J22" s="18">
        <v>4.5999999999999999E-2</v>
      </c>
      <c r="K22" s="18">
        <v>0.39</v>
      </c>
      <c r="L22" s="18">
        <v>0.4</v>
      </c>
      <c r="M22" s="18">
        <v>0.54</v>
      </c>
    </row>
    <row r="23" spans="1:13" ht="15.6" x14ac:dyDescent="0.3">
      <c r="A23" s="9">
        <v>17</v>
      </c>
      <c r="B23" s="18">
        <v>17</v>
      </c>
      <c r="C23" s="48" t="s">
        <v>236</v>
      </c>
      <c r="D23" s="18">
        <v>80</v>
      </c>
      <c r="E23" s="18">
        <v>0.84</v>
      </c>
      <c r="F23" s="18">
        <v>4.1000000000000002E-2</v>
      </c>
      <c r="G23" s="18">
        <v>0.5</v>
      </c>
      <c r="H23" s="18">
        <v>1</v>
      </c>
      <c r="I23" s="19">
        <v>4.3999999999999997E-2</v>
      </c>
      <c r="J23" s="18">
        <v>4.4999999999999998E-2</v>
      </c>
      <c r="K23" s="18">
        <v>0.5</v>
      </c>
      <c r="L23" s="18">
        <v>0.53</v>
      </c>
      <c r="M23" s="18">
        <v>0.49</v>
      </c>
    </row>
    <row r="24" spans="1:13" ht="15.6" x14ac:dyDescent="0.3">
      <c r="A24" s="9">
        <v>18</v>
      </c>
      <c r="B24" s="18">
        <v>18</v>
      </c>
      <c r="C24" s="48" t="s">
        <v>237</v>
      </c>
      <c r="D24" s="18">
        <v>110</v>
      </c>
      <c r="E24" s="18">
        <v>0.84</v>
      </c>
      <c r="F24" s="18">
        <v>4.2000000000000003E-2</v>
      </c>
      <c r="G24" s="18">
        <v>0.5</v>
      </c>
      <c r="H24" s="18">
        <v>1</v>
      </c>
      <c r="I24" s="19">
        <v>4.4999999999999998E-2</v>
      </c>
      <c r="J24" s="18">
        <v>4.7E-2</v>
      </c>
      <c r="K24" s="18">
        <v>0.56000000000000005</v>
      </c>
      <c r="L24" s="18">
        <v>0.56999999999999995</v>
      </c>
      <c r="M24" s="18">
        <v>0.45</v>
      </c>
    </row>
    <row r="25" spans="1:13" ht="15.6" x14ac:dyDescent="0.3">
      <c r="A25" s="9">
        <v>19</v>
      </c>
      <c r="B25" s="18">
        <v>19</v>
      </c>
      <c r="C25" s="48" t="s">
        <v>239</v>
      </c>
      <c r="D25" s="18">
        <v>190</v>
      </c>
      <c r="E25" s="18">
        <v>0.84</v>
      </c>
      <c r="F25" s="18">
        <v>4.2999999999999997E-2</v>
      </c>
      <c r="G25" s="18">
        <v>0.5</v>
      </c>
      <c r="H25" s="18">
        <v>1</v>
      </c>
      <c r="I25" s="19">
        <v>4.7E-2</v>
      </c>
      <c r="J25" s="18">
        <v>5.1999999999999998E-2</v>
      </c>
      <c r="K25" s="18">
        <v>0.78</v>
      </c>
      <c r="L25" s="18">
        <v>0.82</v>
      </c>
      <c r="M25" s="18">
        <v>0.32</v>
      </c>
    </row>
    <row r="26" spans="1:13" ht="15.6" x14ac:dyDescent="0.3">
      <c r="A26" s="9">
        <v>20</v>
      </c>
      <c r="B26" s="18">
        <v>20</v>
      </c>
      <c r="C26" s="20" t="s">
        <v>240</v>
      </c>
      <c r="D26" s="18">
        <v>30</v>
      </c>
      <c r="E26" s="18">
        <v>0.84</v>
      </c>
      <c r="F26" s="18">
        <v>0.04</v>
      </c>
      <c r="G26" s="18">
        <v>0.5</v>
      </c>
      <c r="H26" s="18">
        <v>1</v>
      </c>
      <c r="I26" s="19">
        <v>4.3999999999999997E-2</v>
      </c>
      <c r="J26" s="18">
        <v>4.4999999999999998E-2</v>
      </c>
      <c r="K26" s="18">
        <v>0.28999999999999998</v>
      </c>
      <c r="L26" s="18">
        <v>0.3</v>
      </c>
      <c r="M26" s="18">
        <v>0.55000000000000004</v>
      </c>
    </row>
    <row r="27" spans="1:13" ht="15.6" x14ac:dyDescent="0.3">
      <c r="A27" s="9">
        <v>21</v>
      </c>
      <c r="B27" s="18">
        <v>21</v>
      </c>
      <c r="C27" s="20" t="s">
        <v>242</v>
      </c>
      <c r="D27" s="18">
        <v>50</v>
      </c>
      <c r="E27" s="18">
        <v>0.84</v>
      </c>
      <c r="F27" s="18">
        <v>3.9E-2</v>
      </c>
      <c r="G27" s="18">
        <v>0.5</v>
      </c>
      <c r="H27" s="18">
        <v>1</v>
      </c>
      <c r="I27" s="19">
        <v>4.1000000000000002E-2</v>
      </c>
      <c r="J27" s="18">
        <v>4.2000000000000003E-2</v>
      </c>
      <c r="K27" s="18">
        <v>0.36</v>
      </c>
      <c r="L27" s="18">
        <v>0.37</v>
      </c>
      <c r="M27" s="18">
        <v>0.52</v>
      </c>
    </row>
    <row r="28" spans="1:13" ht="15.6" x14ac:dyDescent="0.3">
      <c r="A28" s="9">
        <v>22</v>
      </c>
      <c r="B28" s="18">
        <v>22</v>
      </c>
      <c r="C28" s="20" t="s">
        <v>243</v>
      </c>
      <c r="D28" s="18">
        <v>70</v>
      </c>
      <c r="E28" s="18">
        <v>0.84</v>
      </c>
      <c r="F28" s="18">
        <v>3.6999999999999998E-2</v>
      </c>
      <c r="G28" s="18">
        <v>0.5</v>
      </c>
      <c r="H28" s="18">
        <v>1</v>
      </c>
      <c r="I28" s="19">
        <v>3.9E-2</v>
      </c>
      <c r="J28" s="18">
        <v>0.04</v>
      </c>
      <c r="K28" s="18">
        <v>0.42</v>
      </c>
      <c r="L28" s="18">
        <v>0.43</v>
      </c>
      <c r="M28" s="18">
        <v>0.5</v>
      </c>
    </row>
    <row r="29" spans="1:13" ht="15.6" x14ac:dyDescent="0.3">
      <c r="A29" s="9">
        <v>23</v>
      </c>
      <c r="B29" s="18">
        <v>23</v>
      </c>
      <c r="C29" s="20" t="s">
        <v>244</v>
      </c>
      <c r="D29" s="18">
        <v>110</v>
      </c>
      <c r="E29" s="18">
        <v>0.84</v>
      </c>
      <c r="F29" s="18">
        <v>3.7999999999999999E-2</v>
      </c>
      <c r="G29" s="18">
        <v>0.5</v>
      </c>
      <c r="H29" s="18">
        <v>1</v>
      </c>
      <c r="I29" s="19">
        <v>4.2999999999999997E-2</v>
      </c>
      <c r="J29" s="18">
        <v>4.3999999999999997E-2</v>
      </c>
      <c r="K29" s="18">
        <v>0.55000000000000004</v>
      </c>
      <c r="L29" s="18">
        <v>0.56000000000000005</v>
      </c>
      <c r="M29" s="18">
        <v>0.45</v>
      </c>
    </row>
    <row r="30" spans="1:13" ht="15.6" x14ac:dyDescent="0.3">
      <c r="A30" s="9">
        <v>24</v>
      </c>
      <c r="B30" s="18">
        <v>24</v>
      </c>
      <c r="C30" s="20" t="s">
        <v>245</v>
      </c>
      <c r="D30" s="18">
        <v>140</v>
      </c>
      <c r="E30" s="18">
        <v>0.84</v>
      </c>
      <c r="F30" s="18">
        <v>3.9E-2</v>
      </c>
      <c r="G30" s="18">
        <v>0.5</v>
      </c>
      <c r="H30" s="18">
        <v>1</v>
      </c>
      <c r="I30" s="19">
        <v>4.3999999999999997E-2</v>
      </c>
      <c r="J30" s="18">
        <v>4.4999999999999998E-2</v>
      </c>
      <c r="K30" s="18">
        <v>0.62</v>
      </c>
      <c r="L30" s="18">
        <v>0.61</v>
      </c>
      <c r="M30" s="18">
        <v>0.41</v>
      </c>
    </row>
    <row r="31" spans="1:13" ht="15.6" x14ac:dyDescent="0.3">
      <c r="A31" s="9">
        <v>25</v>
      </c>
      <c r="B31" s="18">
        <v>25</v>
      </c>
      <c r="C31" s="20" t="s">
        <v>246</v>
      </c>
      <c r="D31" s="18">
        <v>180</v>
      </c>
      <c r="E31" s="18">
        <v>0.84</v>
      </c>
      <c r="F31" s="18">
        <v>0.04</v>
      </c>
      <c r="G31" s="18">
        <v>0.5</v>
      </c>
      <c r="H31" s="18">
        <v>1</v>
      </c>
      <c r="I31" s="19">
        <v>4.7E-2</v>
      </c>
      <c r="J31" s="18">
        <v>4.8000000000000001E-2</v>
      </c>
      <c r="K31" s="18">
        <v>0.72</v>
      </c>
      <c r="L31" s="18">
        <v>0.75</v>
      </c>
      <c r="M31" s="18">
        <v>0.34</v>
      </c>
    </row>
    <row r="32" spans="1:13" ht="15.6" x14ac:dyDescent="0.3">
      <c r="A32" s="9">
        <v>26</v>
      </c>
      <c r="B32" s="18">
        <v>26</v>
      </c>
      <c r="C32" s="20" t="s">
        <v>247</v>
      </c>
      <c r="D32" s="18">
        <v>220</v>
      </c>
      <c r="E32" s="18">
        <v>0.84</v>
      </c>
      <c r="F32" s="18">
        <v>4.1000000000000002E-2</v>
      </c>
      <c r="G32" s="18">
        <v>0.5</v>
      </c>
      <c r="H32" s="18">
        <v>1</v>
      </c>
      <c r="I32" s="19">
        <v>4.8000000000000001E-2</v>
      </c>
      <c r="J32" s="18">
        <v>0.05</v>
      </c>
      <c r="K32" s="18">
        <v>0.81</v>
      </c>
      <c r="L32" s="18">
        <v>0.84</v>
      </c>
      <c r="M32" s="18">
        <v>0.32</v>
      </c>
    </row>
    <row r="33" spans="1:13" ht="15.6" x14ac:dyDescent="0.3">
      <c r="A33" s="9">
        <v>27</v>
      </c>
      <c r="B33" s="18">
        <v>27</v>
      </c>
      <c r="C33" s="48" t="s">
        <v>248</v>
      </c>
      <c r="D33" s="18">
        <v>40</v>
      </c>
      <c r="E33" s="18">
        <v>0.84</v>
      </c>
      <c r="F33" s="18">
        <v>4.4999999999999998E-2</v>
      </c>
      <c r="G33" s="18">
        <v>2</v>
      </c>
      <c r="H33" s="18">
        <v>5</v>
      </c>
      <c r="I33" s="19">
        <v>5.2999999999999999E-2</v>
      </c>
      <c r="J33" s="18">
        <v>5.8999999999999997E-2</v>
      </c>
      <c r="K33" s="18">
        <v>0.57999999999999996</v>
      </c>
      <c r="L33" s="18">
        <v>0.66</v>
      </c>
      <c r="M33" s="18">
        <v>0.53</v>
      </c>
    </row>
    <row r="34" spans="1:13" ht="15.6" x14ac:dyDescent="0.3">
      <c r="A34" s="9">
        <v>28</v>
      </c>
      <c r="B34" s="18">
        <v>28</v>
      </c>
      <c r="C34" s="48" t="s">
        <v>249</v>
      </c>
      <c r="D34" s="18">
        <v>90</v>
      </c>
      <c r="E34" s="18">
        <v>0.84</v>
      </c>
      <c r="F34" s="18">
        <v>4.1000000000000002E-2</v>
      </c>
      <c r="G34" s="18">
        <v>2</v>
      </c>
      <c r="H34" s="18">
        <v>5</v>
      </c>
      <c r="I34" s="19">
        <v>0.05</v>
      </c>
      <c r="J34" s="18">
        <v>5.3999999999999999E-2</v>
      </c>
      <c r="K34" s="18">
        <v>0.48</v>
      </c>
      <c r="L34" s="18">
        <v>0.54</v>
      </c>
      <c r="M34" s="18">
        <v>0.5</v>
      </c>
    </row>
    <row r="35" spans="1:13" ht="15.6" x14ac:dyDescent="0.3">
      <c r="A35" s="9">
        <v>29</v>
      </c>
      <c r="B35" s="18">
        <v>29</v>
      </c>
      <c r="C35" s="48" t="s">
        <v>250</v>
      </c>
      <c r="D35" s="18">
        <v>75</v>
      </c>
      <c r="E35" s="18">
        <v>0.84</v>
      </c>
      <c r="F35" s="18">
        <v>4.8000000000000001E-2</v>
      </c>
      <c r="G35" s="18">
        <v>2</v>
      </c>
      <c r="H35" s="18">
        <v>5</v>
      </c>
      <c r="I35" s="19">
        <v>0.06</v>
      </c>
      <c r="J35" s="18">
        <v>6.4000000000000001E-2</v>
      </c>
      <c r="K35" s="18">
        <v>0.55000000000000004</v>
      </c>
      <c r="L35" s="18">
        <v>0.61</v>
      </c>
      <c r="M35" s="18">
        <v>0.49</v>
      </c>
    </row>
    <row r="36" spans="1:13" ht="15.6" x14ac:dyDescent="0.3">
      <c r="A36" s="9">
        <v>30</v>
      </c>
      <c r="B36" s="18">
        <v>30</v>
      </c>
      <c r="C36" s="48" t="s">
        <v>251</v>
      </c>
      <c r="D36" s="18">
        <v>125</v>
      </c>
      <c r="E36" s="18">
        <v>0.84</v>
      </c>
      <c r="F36" s="18">
        <v>0.05</v>
      </c>
      <c r="G36" s="18">
        <v>2</v>
      </c>
      <c r="H36" s="18">
        <v>5</v>
      </c>
      <c r="I36" s="19">
        <v>6.4000000000000001E-2</v>
      </c>
      <c r="J36" s="18">
        <v>7.0000000000000007E-2</v>
      </c>
      <c r="K36" s="18">
        <v>0.73</v>
      </c>
      <c r="L36" s="18">
        <v>0.82</v>
      </c>
      <c r="M36" s="18">
        <v>0.3</v>
      </c>
    </row>
    <row r="37" spans="1:13" ht="15.6" x14ac:dyDescent="0.3">
      <c r="A37" s="9">
        <v>31</v>
      </c>
      <c r="B37" s="18">
        <v>31</v>
      </c>
      <c r="C37" s="48" t="s">
        <v>252</v>
      </c>
      <c r="D37" s="18">
        <v>70</v>
      </c>
      <c r="E37" s="18">
        <v>0.84</v>
      </c>
      <c r="F37" s="18">
        <v>4.1000000000000002E-2</v>
      </c>
      <c r="G37" s="18">
        <v>2</v>
      </c>
      <c r="H37" s="18">
        <v>5</v>
      </c>
      <c r="I37" s="19">
        <v>4.9000000000000002E-2</v>
      </c>
      <c r="J37" s="18">
        <v>5.3999999999999999E-2</v>
      </c>
      <c r="K37" s="18">
        <v>0.48</v>
      </c>
      <c r="L37" s="18">
        <v>0.54</v>
      </c>
      <c r="M37" s="18">
        <v>0.49</v>
      </c>
    </row>
    <row r="38" spans="1:13" ht="15.6" x14ac:dyDescent="0.3">
      <c r="A38" s="9">
        <v>32</v>
      </c>
      <c r="B38" s="18">
        <v>32</v>
      </c>
      <c r="C38" s="48" t="s">
        <v>253</v>
      </c>
      <c r="D38" s="18">
        <v>95</v>
      </c>
      <c r="E38" s="18">
        <v>0.84</v>
      </c>
      <c r="F38" s="18">
        <v>4.2999999999999997E-2</v>
      </c>
      <c r="G38" s="18">
        <v>2</v>
      </c>
      <c r="H38" s="18">
        <v>5</v>
      </c>
      <c r="I38" s="19">
        <v>5.2999999999999999E-2</v>
      </c>
      <c r="J38" s="18">
        <v>5.8999999999999997E-2</v>
      </c>
      <c r="K38" s="18">
        <v>0.57999999999999996</v>
      </c>
      <c r="L38" s="18">
        <v>0.66</v>
      </c>
      <c r="M38" s="18">
        <v>0.4</v>
      </c>
    </row>
    <row r="39" spans="1:13" ht="15.6" x14ac:dyDescent="0.3">
      <c r="A39" s="9">
        <v>33</v>
      </c>
      <c r="B39" s="18">
        <v>33</v>
      </c>
      <c r="C39" s="48" t="s">
        <v>254</v>
      </c>
      <c r="D39" s="18">
        <v>50</v>
      </c>
      <c r="E39" s="18">
        <v>0.84</v>
      </c>
      <c r="F39" s="18">
        <v>3.7999999999999999E-2</v>
      </c>
      <c r="G39" s="18">
        <v>2</v>
      </c>
      <c r="H39" s="18">
        <v>5</v>
      </c>
      <c r="I39" s="19">
        <v>4.4999999999999998E-2</v>
      </c>
      <c r="J39" s="18">
        <v>4.8000000000000001E-2</v>
      </c>
      <c r="K39" s="18">
        <v>0.39</v>
      </c>
      <c r="L39" s="18">
        <v>0.43</v>
      </c>
      <c r="M39" s="18">
        <v>0.59</v>
      </c>
    </row>
    <row r="40" spans="1:13" ht="15.6" x14ac:dyDescent="0.3">
      <c r="A40" s="9">
        <v>34</v>
      </c>
      <c r="B40" s="18">
        <v>34</v>
      </c>
      <c r="C40" s="48" t="s">
        <v>255</v>
      </c>
      <c r="D40" s="18">
        <v>30</v>
      </c>
      <c r="E40" s="18">
        <v>0.84</v>
      </c>
      <c r="F40" s="18">
        <v>4.7E-2</v>
      </c>
      <c r="G40" s="18">
        <v>2</v>
      </c>
      <c r="H40" s="18">
        <v>5</v>
      </c>
      <c r="I40" s="19">
        <v>6.0999999999999999E-2</v>
      </c>
      <c r="J40" s="18">
        <v>6.5000000000000002E-2</v>
      </c>
      <c r="K40" s="18">
        <v>0.35</v>
      </c>
      <c r="L40" s="18">
        <v>0.39</v>
      </c>
      <c r="M40" s="18">
        <v>0.61</v>
      </c>
    </row>
    <row r="41" spans="1:13" ht="15.6" x14ac:dyDescent="0.3">
      <c r="A41" s="9">
        <v>35</v>
      </c>
      <c r="B41" s="18">
        <v>35</v>
      </c>
      <c r="C41" s="48" t="s">
        <v>256</v>
      </c>
      <c r="D41" s="18">
        <v>75</v>
      </c>
      <c r="E41" s="18">
        <v>0.84</v>
      </c>
      <c r="F41" s="18">
        <v>4.7E-2</v>
      </c>
      <c r="G41" s="18">
        <v>2</v>
      </c>
      <c r="H41" s="18">
        <v>5</v>
      </c>
      <c r="I41" s="19">
        <v>6.2E-2</v>
      </c>
      <c r="J41" s="18">
        <v>6.7000000000000004E-2</v>
      </c>
      <c r="K41" s="18">
        <v>0.56000000000000005</v>
      </c>
      <c r="L41" s="18">
        <v>0.62</v>
      </c>
      <c r="M41" s="18">
        <v>0.57999999999999996</v>
      </c>
    </row>
    <row r="42" spans="1:13" ht="15.6" x14ac:dyDescent="0.3">
      <c r="A42" s="9">
        <v>36</v>
      </c>
      <c r="B42" s="18">
        <v>36</v>
      </c>
      <c r="C42" s="48" t="s">
        <v>257</v>
      </c>
      <c r="D42" s="18">
        <v>160</v>
      </c>
      <c r="E42" s="18">
        <v>0.84</v>
      </c>
      <c r="F42" s="18">
        <v>5.1999999999999998E-2</v>
      </c>
      <c r="G42" s="18">
        <v>2</v>
      </c>
      <c r="H42" s="18">
        <v>5</v>
      </c>
      <c r="I42" s="19">
        <v>6.4000000000000001E-2</v>
      </c>
      <c r="J42" s="18">
        <v>7.0000000000000007E-2</v>
      </c>
      <c r="K42" s="18">
        <v>0.83</v>
      </c>
      <c r="L42" s="18">
        <v>0.93</v>
      </c>
      <c r="M42" s="18">
        <v>0.53</v>
      </c>
    </row>
    <row r="43" spans="1:13" ht="15.6" x14ac:dyDescent="0.3">
      <c r="A43" s="9">
        <v>37</v>
      </c>
      <c r="B43" s="18">
        <v>37</v>
      </c>
      <c r="C43" s="48" t="s">
        <v>258</v>
      </c>
      <c r="D43" s="18">
        <v>190</v>
      </c>
      <c r="E43" s="18">
        <v>0.84</v>
      </c>
      <c r="F43" s="18">
        <v>5.7000000000000002E-2</v>
      </c>
      <c r="G43" s="18">
        <v>2</v>
      </c>
      <c r="H43" s="18">
        <v>5</v>
      </c>
      <c r="I43" s="19">
        <v>7.0000000000000007E-2</v>
      </c>
      <c r="J43" s="18">
        <v>7.2999999999999995E-2</v>
      </c>
      <c r="K43" s="18">
        <v>0.95</v>
      </c>
      <c r="L43" s="18">
        <v>1.03</v>
      </c>
      <c r="M43" s="18">
        <v>0.5</v>
      </c>
    </row>
    <row r="44" spans="1:13" ht="31.2" x14ac:dyDescent="0.3">
      <c r="A44" s="9">
        <v>38</v>
      </c>
      <c r="B44" s="18">
        <v>38</v>
      </c>
      <c r="C44" s="48" t="s">
        <v>259</v>
      </c>
      <c r="D44" s="18">
        <v>15</v>
      </c>
      <c r="E44" s="18">
        <v>0.84</v>
      </c>
      <c r="F44" s="18">
        <v>0.04</v>
      </c>
      <c r="G44" s="18">
        <v>1</v>
      </c>
      <c r="H44" s="18">
        <v>4</v>
      </c>
      <c r="I44" s="19">
        <v>0.05</v>
      </c>
      <c r="J44" s="18">
        <v>5.0999999999999997E-2</v>
      </c>
      <c r="K44" s="18">
        <v>0.21</v>
      </c>
      <c r="L44" s="18">
        <v>0.23</v>
      </c>
      <c r="M44" s="18">
        <v>0.61</v>
      </c>
    </row>
    <row r="45" spans="1:13" ht="31.2" x14ac:dyDescent="0.3">
      <c r="A45" s="9">
        <v>39</v>
      </c>
      <c r="B45" s="18">
        <v>39</v>
      </c>
      <c r="C45" s="48" t="s">
        <v>260</v>
      </c>
      <c r="D45" s="18">
        <v>55</v>
      </c>
      <c r="E45" s="18">
        <v>0.84</v>
      </c>
      <c r="F45" s="18">
        <v>3.7999999999999999E-2</v>
      </c>
      <c r="G45" s="18">
        <v>1</v>
      </c>
      <c r="H45" s="18">
        <v>4</v>
      </c>
      <c r="I45" s="19">
        <v>4.4999999999999998E-2</v>
      </c>
      <c r="J45" s="18">
        <v>4.8000000000000001E-2</v>
      </c>
      <c r="K45" s="18">
        <v>0.38</v>
      </c>
      <c r="L45" s="18">
        <v>0.42</v>
      </c>
      <c r="M45" s="18">
        <v>0.49</v>
      </c>
    </row>
    <row r="46" spans="1:13" ht="31.2" x14ac:dyDescent="0.3">
      <c r="A46" s="9">
        <v>40</v>
      </c>
      <c r="B46" s="18">
        <v>40</v>
      </c>
      <c r="C46" s="48" t="s">
        <v>261</v>
      </c>
      <c r="D46" s="18">
        <v>140</v>
      </c>
      <c r="E46" s="18">
        <v>0.84</v>
      </c>
      <c r="F46" s="18">
        <v>0.04</v>
      </c>
      <c r="G46" s="18">
        <v>1</v>
      </c>
      <c r="H46" s="18">
        <v>4</v>
      </c>
      <c r="I46" s="19">
        <v>4.9000000000000002E-2</v>
      </c>
      <c r="J46" s="18">
        <v>5.0999999999999997E-2</v>
      </c>
      <c r="K46" s="18">
        <v>0.66</v>
      </c>
      <c r="L46" s="18">
        <v>0.73</v>
      </c>
      <c r="M46" s="18">
        <v>0.41</v>
      </c>
    </row>
    <row r="47" spans="1:13" ht="15.6" x14ac:dyDescent="0.3">
      <c r="A47" s="9">
        <v>41</v>
      </c>
      <c r="B47" s="18">
        <v>41</v>
      </c>
      <c r="C47" s="48" t="s">
        <v>262</v>
      </c>
      <c r="D47" s="18">
        <v>20</v>
      </c>
      <c r="E47" s="18">
        <v>0.84</v>
      </c>
      <c r="F47" s="18">
        <v>3.9E-2</v>
      </c>
      <c r="G47" s="18">
        <v>1</v>
      </c>
      <c r="H47" s="18">
        <v>3</v>
      </c>
      <c r="I47" s="19">
        <v>4.2999999999999997E-2</v>
      </c>
      <c r="J47" s="18">
        <v>4.7E-2</v>
      </c>
      <c r="K47" s="18">
        <v>0.25</v>
      </c>
      <c r="L47" s="18">
        <v>0.27</v>
      </c>
      <c r="M47" s="18">
        <v>0.55000000000000004</v>
      </c>
    </row>
    <row r="48" spans="1:13" ht="15.6" x14ac:dyDescent="0.3">
      <c r="A48" s="9">
        <v>42</v>
      </c>
      <c r="B48" s="18">
        <v>42</v>
      </c>
      <c r="C48" s="48" t="s">
        <v>262</v>
      </c>
      <c r="D48" s="18">
        <v>80</v>
      </c>
      <c r="E48" s="18">
        <v>0.84</v>
      </c>
      <c r="F48" s="18">
        <v>3.6999999999999998E-2</v>
      </c>
      <c r="G48" s="18">
        <v>1</v>
      </c>
      <c r="H48" s="18">
        <v>4</v>
      </c>
      <c r="I48" s="19">
        <v>4.2000000000000003E-2</v>
      </c>
      <c r="J48" s="18">
        <v>4.9000000000000002E-2</v>
      </c>
      <c r="K48" s="18">
        <v>0.48</v>
      </c>
      <c r="L48" s="18">
        <v>0.52</v>
      </c>
      <c r="M48" s="18">
        <v>0.47</v>
      </c>
    </row>
    <row r="49" spans="1:13" ht="15.6" x14ac:dyDescent="0.3">
      <c r="A49" s="9">
        <v>43</v>
      </c>
      <c r="B49" s="18">
        <v>43</v>
      </c>
      <c r="C49" s="48" t="s">
        <v>263</v>
      </c>
      <c r="D49" s="18">
        <v>10</v>
      </c>
      <c r="E49" s="18">
        <v>0.84</v>
      </c>
      <c r="F49" s="18">
        <v>4.2999999999999997E-2</v>
      </c>
      <c r="G49" s="18">
        <v>1</v>
      </c>
      <c r="H49" s="18">
        <v>4</v>
      </c>
      <c r="I49" s="19">
        <v>0.05</v>
      </c>
      <c r="J49" s="18">
        <v>5.2999999999999999E-2</v>
      </c>
      <c r="K49" s="18">
        <v>0.18</v>
      </c>
      <c r="L49" s="18">
        <v>0.19</v>
      </c>
      <c r="M49" s="18">
        <v>0.55000000000000004</v>
      </c>
    </row>
    <row r="50" spans="1:13" ht="15.6" x14ac:dyDescent="0.3">
      <c r="A50" s="9">
        <v>44</v>
      </c>
      <c r="B50" s="18">
        <v>44</v>
      </c>
      <c r="C50" s="50" t="s">
        <v>264</v>
      </c>
      <c r="D50" s="18">
        <v>10</v>
      </c>
      <c r="E50" s="18">
        <v>0.84</v>
      </c>
      <c r="F50" s="18">
        <v>4.5999999999999999E-2</v>
      </c>
      <c r="G50" s="18">
        <v>1</v>
      </c>
      <c r="H50" s="18">
        <v>3</v>
      </c>
      <c r="I50" s="19">
        <v>5.0999999999999997E-2</v>
      </c>
      <c r="J50" s="18">
        <v>5.3999999999999999E-2</v>
      </c>
      <c r="K50" s="18">
        <v>0.19</v>
      </c>
      <c r="L50" s="18">
        <v>0.2</v>
      </c>
      <c r="M50" s="18">
        <v>0.69</v>
      </c>
    </row>
    <row r="51" spans="1:13" ht="15.6" x14ac:dyDescent="0.3">
      <c r="A51" s="9">
        <v>45</v>
      </c>
      <c r="B51" s="18">
        <v>45</v>
      </c>
      <c r="C51" s="50" t="s">
        <v>265</v>
      </c>
      <c r="D51" s="18">
        <v>15</v>
      </c>
      <c r="E51" s="18">
        <v>0.84</v>
      </c>
      <c r="F51" s="18">
        <v>4.2999999999999997E-2</v>
      </c>
      <c r="G51" s="18">
        <v>1</v>
      </c>
      <c r="H51" s="18">
        <v>3</v>
      </c>
      <c r="I51" s="19">
        <v>4.7E-2</v>
      </c>
      <c r="J51" s="18">
        <v>5.1999999999999998E-2</v>
      </c>
      <c r="K51" s="18">
        <v>0.23</v>
      </c>
      <c r="L51" s="18">
        <v>0.24</v>
      </c>
      <c r="M51" s="18">
        <v>0.6</v>
      </c>
    </row>
    <row r="52" spans="1:13" ht="15.6" x14ac:dyDescent="0.3">
      <c r="A52" s="9">
        <v>46</v>
      </c>
      <c r="B52" s="18">
        <v>46</v>
      </c>
      <c r="C52" s="48" t="s">
        <v>266</v>
      </c>
      <c r="D52" s="18">
        <v>25</v>
      </c>
      <c r="E52" s="18">
        <v>0.84</v>
      </c>
      <c r="F52" s="18">
        <v>4.7E-2</v>
      </c>
      <c r="G52" s="18">
        <v>2</v>
      </c>
      <c r="H52" s="18">
        <v>5</v>
      </c>
      <c r="I52" s="19">
        <v>6.0999999999999999E-2</v>
      </c>
      <c r="J52" s="18">
        <v>6.5000000000000002E-2</v>
      </c>
      <c r="K52" s="18">
        <v>0.32</v>
      </c>
      <c r="L52" s="18">
        <v>0.35</v>
      </c>
      <c r="M52" s="18">
        <v>0.62</v>
      </c>
    </row>
    <row r="53" spans="1:13" ht="15.6" x14ac:dyDescent="0.3">
      <c r="A53" s="9">
        <v>47</v>
      </c>
      <c r="B53" s="18">
        <v>47</v>
      </c>
      <c r="C53" s="48" t="s">
        <v>267</v>
      </c>
      <c r="D53" s="18">
        <v>35</v>
      </c>
      <c r="E53" s="18">
        <v>0.84</v>
      </c>
      <c r="F53" s="18">
        <v>4.7E-2</v>
      </c>
      <c r="G53" s="18">
        <v>2</v>
      </c>
      <c r="H53" s="18">
        <v>5</v>
      </c>
      <c r="I53" s="19">
        <v>0.06</v>
      </c>
      <c r="J53" s="18">
        <v>6.4000000000000001E-2</v>
      </c>
      <c r="K53" s="18">
        <v>0.38</v>
      </c>
      <c r="L53" s="18">
        <v>0.41</v>
      </c>
      <c r="M53" s="18">
        <v>0.6</v>
      </c>
    </row>
    <row r="54" spans="1:13" ht="15.6" x14ac:dyDescent="0.3">
      <c r="A54" s="9">
        <v>48</v>
      </c>
      <c r="B54" s="18">
        <v>48</v>
      </c>
      <c r="C54" s="48" t="s">
        <v>268</v>
      </c>
      <c r="D54" s="18">
        <v>40</v>
      </c>
      <c r="E54" s="18">
        <v>0.84</v>
      </c>
      <c r="F54" s="18">
        <v>4.7E-2</v>
      </c>
      <c r="G54" s="18">
        <v>2</v>
      </c>
      <c r="H54" s="18">
        <v>5</v>
      </c>
      <c r="I54" s="19">
        <v>6.0999999999999999E-2</v>
      </c>
      <c r="J54" s="18">
        <v>6.5000000000000002E-2</v>
      </c>
      <c r="K54" s="18">
        <v>0.45</v>
      </c>
      <c r="L54" s="18">
        <v>0.49</v>
      </c>
      <c r="M54" s="18">
        <v>0.6</v>
      </c>
    </row>
    <row r="55" spans="1:13" ht="15.6" x14ac:dyDescent="0.3">
      <c r="A55" s="9">
        <v>49</v>
      </c>
      <c r="B55" s="18">
        <v>49</v>
      </c>
      <c r="C55" s="48" t="s">
        <v>269</v>
      </c>
      <c r="D55" s="18">
        <v>45</v>
      </c>
      <c r="E55" s="18">
        <v>0.84</v>
      </c>
      <c r="F55" s="18">
        <v>3.6999999999999998E-2</v>
      </c>
      <c r="G55" s="18">
        <v>2</v>
      </c>
      <c r="H55" s="18">
        <v>5</v>
      </c>
      <c r="I55" s="19">
        <v>4.3999999999999997E-2</v>
      </c>
      <c r="J55" s="18">
        <v>4.5999999999999999E-2</v>
      </c>
      <c r="K55" s="18">
        <v>0.36</v>
      </c>
      <c r="L55" s="18">
        <v>0.4</v>
      </c>
      <c r="M55" s="18">
        <v>0.6</v>
      </c>
    </row>
    <row r="56" spans="1:13" ht="15.6" x14ac:dyDescent="0.3">
      <c r="A56" s="9">
        <v>50</v>
      </c>
      <c r="B56" s="18">
        <v>50</v>
      </c>
      <c r="C56" s="48" t="s">
        <v>270</v>
      </c>
      <c r="D56" s="18">
        <v>80</v>
      </c>
      <c r="E56" s="18">
        <v>0.84</v>
      </c>
      <c r="F56" s="18">
        <v>4.4999999999999998E-2</v>
      </c>
      <c r="G56" s="18">
        <v>2</v>
      </c>
      <c r="H56" s="18">
        <v>5</v>
      </c>
      <c r="I56" s="19">
        <v>0.06</v>
      </c>
      <c r="J56" s="18">
        <v>6.4000000000000001E-2</v>
      </c>
      <c r="K56" s="18">
        <v>0.55000000000000004</v>
      </c>
      <c r="L56" s="18">
        <v>0.61</v>
      </c>
      <c r="M56" s="18">
        <v>0.4</v>
      </c>
    </row>
    <row r="57" spans="1:13" ht="15.6" x14ac:dyDescent="0.3">
      <c r="A57" s="9">
        <v>51</v>
      </c>
      <c r="B57" s="18">
        <v>51</v>
      </c>
      <c r="C57" s="48" t="s">
        <v>271</v>
      </c>
      <c r="D57" s="18">
        <v>100</v>
      </c>
      <c r="E57" s="18">
        <v>0.84</v>
      </c>
      <c r="F57" s="18">
        <v>0.05</v>
      </c>
      <c r="G57" s="18">
        <v>2</v>
      </c>
      <c r="H57" s="18">
        <v>5</v>
      </c>
      <c r="I57" s="19">
        <v>6.4000000000000001E-2</v>
      </c>
      <c r="J57" s="18">
        <v>7.0000000000000007E-2</v>
      </c>
      <c r="K57" s="18">
        <v>0.71</v>
      </c>
      <c r="L57" s="18">
        <v>0.8</v>
      </c>
      <c r="M57" s="18">
        <v>0.3</v>
      </c>
    </row>
    <row r="58" spans="1:13" ht="15.6" x14ac:dyDescent="0.3">
      <c r="A58" s="9">
        <v>52</v>
      </c>
      <c r="B58" s="18">
        <v>52</v>
      </c>
      <c r="C58" s="48" t="s">
        <v>241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1</v>
      </c>
      <c r="J58" s="18">
        <v>1</v>
      </c>
      <c r="K58" s="18">
        <v>0</v>
      </c>
      <c r="L58" s="18">
        <v>0</v>
      </c>
      <c r="M58" s="18">
        <v>1</v>
      </c>
    </row>
    <row r="59" spans="1:13" ht="15.6" x14ac:dyDescent="0.3">
      <c r="A59" s="9">
        <v>53</v>
      </c>
      <c r="C59" s="51" t="s">
        <v>220</v>
      </c>
      <c r="D59" s="18"/>
      <c r="E59" s="18"/>
      <c r="F59" s="18"/>
      <c r="G59" s="18"/>
      <c r="H59" s="18"/>
      <c r="I59" s="19"/>
      <c r="J59" s="18"/>
      <c r="K59" s="18"/>
      <c r="L59" s="18"/>
      <c r="M59" s="18"/>
    </row>
    <row r="60" spans="1:13" ht="16.5" customHeight="1" x14ac:dyDescent="0.3">
      <c r="A60" s="9">
        <v>54</v>
      </c>
      <c r="B60" s="18">
        <v>1</v>
      </c>
      <c r="C60" s="21" t="s">
        <v>272</v>
      </c>
      <c r="D60" s="18">
        <v>15</v>
      </c>
      <c r="E60" s="18">
        <v>1.34</v>
      </c>
      <c r="F60" s="18">
        <v>0.04</v>
      </c>
      <c r="G60" s="18">
        <v>2</v>
      </c>
      <c r="H60" s="18">
        <v>10</v>
      </c>
      <c r="I60" s="19">
        <v>4.4999999999999998E-2</v>
      </c>
      <c r="J60" s="18">
        <v>5.5E-2</v>
      </c>
      <c r="K60" s="18">
        <v>0.28000000000000003</v>
      </c>
      <c r="L60" s="18">
        <v>0.33</v>
      </c>
      <c r="M60" s="18">
        <v>0.05</v>
      </c>
    </row>
    <row r="61" spans="1:13" ht="15.6" x14ac:dyDescent="0.3">
      <c r="A61" s="9">
        <v>55</v>
      </c>
      <c r="B61" s="18">
        <v>2</v>
      </c>
      <c r="C61" s="52" t="s">
        <v>273</v>
      </c>
      <c r="D61" s="18">
        <v>25</v>
      </c>
      <c r="E61" s="18">
        <v>1.34</v>
      </c>
      <c r="F61" s="18">
        <v>3.7999999999999999E-2</v>
      </c>
      <c r="G61" s="18">
        <v>2</v>
      </c>
      <c r="H61" s="18">
        <v>10</v>
      </c>
      <c r="I61" s="19">
        <v>4.2999999999999997E-2</v>
      </c>
      <c r="J61" s="18">
        <v>5.2999999999999999E-2</v>
      </c>
      <c r="K61" s="18">
        <v>0.34</v>
      </c>
      <c r="L61" s="18">
        <v>0.4</v>
      </c>
      <c r="M61" s="18">
        <v>0.05</v>
      </c>
    </row>
    <row r="62" spans="1:13" ht="15.6" x14ac:dyDescent="0.3">
      <c r="A62" s="9">
        <v>56</v>
      </c>
      <c r="B62" s="18">
        <v>3</v>
      </c>
      <c r="C62" s="52" t="s">
        <v>274</v>
      </c>
      <c r="D62" s="18">
        <v>35</v>
      </c>
      <c r="E62" s="18">
        <v>1.34</v>
      </c>
      <c r="F62" s="18">
        <v>3.6999999999999998E-2</v>
      </c>
      <c r="G62" s="18">
        <v>2</v>
      </c>
      <c r="H62" s="18">
        <v>10</v>
      </c>
      <c r="I62" s="19">
        <v>4.1000000000000002E-2</v>
      </c>
      <c r="J62" s="18">
        <v>0.05</v>
      </c>
      <c r="K62" s="18">
        <v>0.4</v>
      </c>
      <c r="L62" s="18">
        <v>0.46</v>
      </c>
      <c r="M62" s="18">
        <v>0.05</v>
      </c>
    </row>
    <row r="63" spans="1:13" ht="15.6" x14ac:dyDescent="0.3">
      <c r="A63" s="9">
        <v>57</v>
      </c>
      <c r="B63" s="18">
        <v>4</v>
      </c>
      <c r="C63" s="52" t="s">
        <v>275</v>
      </c>
      <c r="D63" s="18">
        <v>50</v>
      </c>
      <c r="E63" s="18">
        <v>1.34</v>
      </c>
      <c r="F63" s="18">
        <v>3.4000000000000002E-2</v>
      </c>
      <c r="G63" s="18">
        <v>2</v>
      </c>
      <c r="H63" s="18">
        <v>10</v>
      </c>
      <c r="I63" s="19">
        <v>0.04</v>
      </c>
      <c r="J63" s="18">
        <v>4.4999999999999998E-2</v>
      </c>
      <c r="K63" s="18">
        <v>0.46</v>
      </c>
      <c r="L63" s="18">
        <v>0.53</v>
      </c>
      <c r="M63" s="18">
        <v>0.05</v>
      </c>
    </row>
    <row r="64" spans="1:13" ht="15.6" x14ac:dyDescent="0.3">
      <c r="A64" s="9">
        <v>58</v>
      </c>
      <c r="B64" s="18">
        <v>5</v>
      </c>
      <c r="C64" s="21" t="s">
        <v>276</v>
      </c>
      <c r="D64" s="18">
        <v>50</v>
      </c>
      <c r="E64" s="18">
        <v>1.34</v>
      </c>
      <c r="F64" s="18">
        <v>3.3000000000000002E-2</v>
      </c>
      <c r="G64" s="18">
        <v>2</v>
      </c>
      <c r="H64" s="18">
        <v>10</v>
      </c>
      <c r="I64" s="19">
        <v>3.7999999999999999E-2</v>
      </c>
      <c r="J64" s="18">
        <v>4.2999999999999997E-2</v>
      </c>
      <c r="K64" s="18">
        <v>0.47</v>
      </c>
      <c r="L64" s="18">
        <v>0.54</v>
      </c>
      <c r="M64" s="18">
        <v>0.02</v>
      </c>
    </row>
    <row r="65" spans="1:13" ht="15.6" x14ac:dyDescent="0.3">
      <c r="A65" s="9">
        <v>59</v>
      </c>
      <c r="B65" s="18">
        <v>6</v>
      </c>
      <c r="C65" s="21" t="s">
        <v>277</v>
      </c>
      <c r="D65" s="18">
        <v>80</v>
      </c>
      <c r="E65" s="18">
        <v>1.34</v>
      </c>
      <c r="F65" s="18">
        <v>3.5000000000000003E-2</v>
      </c>
      <c r="G65" s="18">
        <v>2</v>
      </c>
      <c r="H65" s="18">
        <v>10</v>
      </c>
      <c r="I65" s="19">
        <v>4.1000000000000002E-2</v>
      </c>
      <c r="J65" s="18">
        <v>4.9000000000000002E-2</v>
      </c>
      <c r="K65" s="18">
        <v>0.59</v>
      </c>
      <c r="L65" s="18">
        <v>0.73</v>
      </c>
      <c r="M65" s="18">
        <v>0.02</v>
      </c>
    </row>
    <row r="66" spans="1:13" ht="15.6" x14ac:dyDescent="0.3">
      <c r="A66" s="9">
        <v>60</v>
      </c>
      <c r="B66" s="18">
        <v>7</v>
      </c>
      <c r="C66" s="21" t="s">
        <v>278</v>
      </c>
      <c r="D66" s="18">
        <v>20</v>
      </c>
      <c r="E66" s="18">
        <v>1.34</v>
      </c>
      <c r="F66" s="18">
        <v>3.6999999999999998E-2</v>
      </c>
      <c r="G66" s="18">
        <v>2</v>
      </c>
      <c r="H66" s="18">
        <v>10</v>
      </c>
      <c r="I66" s="19">
        <v>3.9E-2</v>
      </c>
      <c r="J66" s="18">
        <v>4.1000000000000002E-2</v>
      </c>
      <c r="K66" s="18">
        <v>0.28999999999999998</v>
      </c>
      <c r="L66" s="18">
        <v>0.32</v>
      </c>
      <c r="M66" s="18">
        <v>0.02</v>
      </c>
    </row>
    <row r="67" spans="1:13" ht="15.6" x14ac:dyDescent="0.3">
      <c r="A67" s="9">
        <v>61</v>
      </c>
      <c r="B67" s="18">
        <v>8</v>
      </c>
      <c r="C67" s="21" t="s">
        <v>279</v>
      </c>
      <c r="D67" s="18">
        <v>25</v>
      </c>
      <c r="E67" s="18">
        <v>1.34</v>
      </c>
      <c r="F67" s="18">
        <v>3.5999999999999997E-2</v>
      </c>
      <c r="G67" s="18">
        <v>2</v>
      </c>
      <c r="H67" s="18">
        <v>10</v>
      </c>
      <c r="I67" s="19">
        <v>3.7999999999999999E-2</v>
      </c>
      <c r="J67" s="18">
        <v>0.04</v>
      </c>
      <c r="K67" s="18">
        <v>0.32</v>
      </c>
      <c r="L67" s="18">
        <v>0.36</v>
      </c>
      <c r="M67" s="18">
        <v>0.02</v>
      </c>
    </row>
    <row r="68" spans="1:13" ht="15.6" x14ac:dyDescent="0.3">
      <c r="A68" s="9">
        <v>62</v>
      </c>
      <c r="B68" s="18">
        <v>9</v>
      </c>
      <c r="C68" s="21" t="s">
        <v>280</v>
      </c>
      <c r="D68" s="18">
        <v>30</v>
      </c>
      <c r="E68" s="18">
        <v>1.34</v>
      </c>
      <c r="F68" s="18">
        <v>3.5000000000000003E-2</v>
      </c>
      <c r="G68" s="18">
        <v>2</v>
      </c>
      <c r="H68" s="18">
        <v>10</v>
      </c>
      <c r="I68" s="19">
        <v>3.6999999999999998E-2</v>
      </c>
      <c r="J68" s="18">
        <v>3.9E-2</v>
      </c>
      <c r="K68" s="18">
        <v>0.34</v>
      </c>
      <c r="L68" s="18">
        <v>0.39</v>
      </c>
      <c r="M68" s="18">
        <v>0.02</v>
      </c>
    </row>
    <row r="69" spans="1:13" ht="15.6" x14ac:dyDescent="0.3">
      <c r="A69" s="9">
        <v>63</v>
      </c>
      <c r="B69" s="18">
        <v>10</v>
      </c>
      <c r="C69" s="21" t="s">
        <v>281</v>
      </c>
      <c r="D69" s="18">
        <v>39</v>
      </c>
      <c r="E69" s="18">
        <v>1.45</v>
      </c>
      <c r="F69" s="18">
        <v>3.4000000000000002E-2</v>
      </c>
      <c r="G69" s="18">
        <v>1</v>
      </c>
      <c r="H69" s="18">
        <v>2</v>
      </c>
      <c r="I69" s="19">
        <v>3.6999999999999998E-2</v>
      </c>
      <c r="J69" s="18">
        <v>3.6999999999999998E-2</v>
      </c>
      <c r="K69" s="18">
        <v>0.4</v>
      </c>
      <c r="L69" s="18">
        <v>0.4</v>
      </c>
      <c r="M69" s="18">
        <v>2.5000000000000001E-2</v>
      </c>
    </row>
    <row r="70" spans="1:13" ht="15.6" x14ac:dyDescent="0.3">
      <c r="A70" s="9">
        <v>64</v>
      </c>
      <c r="B70" s="18">
        <v>11</v>
      </c>
      <c r="C70" s="21" t="s">
        <v>282</v>
      </c>
      <c r="D70" s="18">
        <v>20</v>
      </c>
      <c r="E70" s="18">
        <v>1.45</v>
      </c>
      <c r="F70" s="18">
        <v>3.7999999999999999E-2</v>
      </c>
      <c r="G70" s="18">
        <v>2</v>
      </c>
      <c r="H70" s="18">
        <v>10</v>
      </c>
      <c r="I70" s="19">
        <v>4.3999999999999997E-2</v>
      </c>
      <c r="J70" s="18">
        <v>4.4999999999999998E-2</v>
      </c>
      <c r="K70" s="18">
        <v>0.24</v>
      </c>
      <c r="L70" s="18">
        <v>0.35</v>
      </c>
      <c r="M70" s="18">
        <v>0.04</v>
      </c>
    </row>
    <row r="71" spans="1:13" ht="15.6" x14ac:dyDescent="0.3">
      <c r="A71" s="9">
        <v>65</v>
      </c>
      <c r="B71" s="18">
        <v>12</v>
      </c>
      <c r="C71" s="21" t="s">
        <v>283</v>
      </c>
      <c r="D71" s="18">
        <v>30</v>
      </c>
      <c r="E71" s="18">
        <v>1.45</v>
      </c>
      <c r="F71" s="18">
        <v>3.5000000000000003E-2</v>
      </c>
      <c r="G71" s="18">
        <v>2</v>
      </c>
      <c r="H71" s="18">
        <v>10</v>
      </c>
      <c r="I71" s="19">
        <v>4.1000000000000002E-2</v>
      </c>
      <c r="J71" s="18">
        <v>4.2999999999999997E-2</v>
      </c>
      <c r="K71" s="18">
        <v>0.28999999999999998</v>
      </c>
      <c r="L71" s="18">
        <v>0.42</v>
      </c>
      <c r="M71" s="18">
        <v>0.04</v>
      </c>
    </row>
    <row r="72" spans="1:13" ht="15.6" x14ac:dyDescent="0.3">
      <c r="A72" s="9">
        <v>66</v>
      </c>
      <c r="B72" s="18">
        <v>13</v>
      </c>
      <c r="C72" s="21" t="s">
        <v>284</v>
      </c>
      <c r="D72" s="18">
        <v>40</v>
      </c>
      <c r="E72" s="18">
        <v>1.47</v>
      </c>
      <c r="F72" s="18">
        <v>2.9000000000000001E-2</v>
      </c>
      <c r="G72" s="18">
        <v>2</v>
      </c>
      <c r="H72" s="18">
        <v>5</v>
      </c>
      <c r="I72" s="19">
        <v>0.04</v>
      </c>
      <c r="J72" s="18">
        <v>0.04</v>
      </c>
      <c r="K72" s="18">
        <v>0.4</v>
      </c>
      <c r="L72" s="18">
        <v>0.42</v>
      </c>
      <c r="M72" s="18">
        <v>0.05</v>
      </c>
    </row>
    <row r="73" spans="1:13" ht="15.6" x14ac:dyDescent="0.3">
      <c r="A73" s="9">
        <v>67</v>
      </c>
      <c r="B73" s="18">
        <v>14</v>
      </c>
      <c r="C73" s="21" t="s">
        <v>285</v>
      </c>
      <c r="D73" s="18">
        <v>60</v>
      </c>
      <c r="E73" s="18">
        <v>1.47</v>
      </c>
      <c r="F73" s="18">
        <v>3.5000000000000003E-2</v>
      </c>
      <c r="G73" s="18">
        <v>2</v>
      </c>
      <c r="H73" s="18">
        <v>5</v>
      </c>
      <c r="I73" s="19">
        <v>4.1000000000000002E-2</v>
      </c>
      <c r="J73" s="18">
        <v>4.1000000000000002E-2</v>
      </c>
      <c r="K73" s="18">
        <v>0.53</v>
      </c>
      <c r="L73" s="18">
        <v>0.55000000000000004</v>
      </c>
      <c r="M73" s="18">
        <v>0.05</v>
      </c>
    </row>
    <row r="74" spans="1:13" ht="15.6" x14ac:dyDescent="0.3">
      <c r="A74" s="9">
        <v>68</v>
      </c>
      <c r="B74" s="18">
        <v>15</v>
      </c>
      <c r="C74" s="21" t="s">
        <v>286</v>
      </c>
      <c r="D74" s="18">
        <v>80</v>
      </c>
      <c r="E74" s="18">
        <v>1.47</v>
      </c>
      <c r="F74" s="18">
        <v>4.1000000000000002E-2</v>
      </c>
      <c r="G74" s="18">
        <v>2</v>
      </c>
      <c r="H74" s="18">
        <v>5</v>
      </c>
      <c r="I74" s="19">
        <v>0.05</v>
      </c>
      <c r="J74" s="18">
        <v>0.05</v>
      </c>
      <c r="K74" s="18">
        <v>0.67</v>
      </c>
      <c r="L74" s="18">
        <v>0.7</v>
      </c>
      <c r="M74" s="18">
        <v>0.05</v>
      </c>
    </row>
    <row r="75" spans="1:13" ht="15.6" x14ac:dyDescent="0.3">
      <c r="A75" s="9">
        <v>69</v>
      </c>
      <c r="B75" s="18">
        <v>16</v>
      </c>
      <c r="C75" s="21" t="s">
        <v>287</v>
      </c>
      <c r="D75" s="18">
        <v>40</v>
      </c>
      <c r="E75" s="18">
        <v>1.68</v>
      </c>
      <c r="F75" s="18">
        <v>3.7999999999999999E-2</v>
      </c>
      <c r="G75" s="18">
        <v>5</v>
      </c>
      <c r="H75" s="18">
        <v>20</v>
      </c>
      <c r="I75" s="19">
        <v>4.1000000000000002E-2</v>
      </c>
      <c r="J75" s="18">
        <v>0.06</v>
      </c>
      <c r="K75" s="18">
        <v>0.48</v>
      </c>
      <c r="L75" s="18">
        <v>0.66</v>
      </c>
      <c r="M75" s="18">
        <v>0.23</v>
      </c>
    </row>
    <row r="76" spans="1:13" ht="15.6" x14ac:dyDescent="0.3">
      <c r="A76" s="9">
        <v>70</v>
      </c>
      <c r="B76" s="18">
        <v>17</v>
      </c>
      <c r="C76" s="21" t="s">
        <v>288</v>
      </c>
      <c r="D76" s="18">
        <v>50</v>
      </c>
      <c r="E76" s="18">
        <v>1.68</v>
      </c>
      <c r="F76" s="18">
        <v>4.1000000000000002E-2</v>
      </c>
      <c r="G76" s="18">
        <v>5</v>
      </c>
      <c r="H76" s="18">
        <v>20</v>
      </c>
      <c r="I76" s="19">
        <v>0.05</v>
      </c>
      <c r="J76" s="18">
        <v>6.4000000000000001E-2</v>
      </c>
      <c r="K76" s="18">
        <v>0.59</v>
      </c>
      <c r="L76" s="18">
        <v>0.77</v>
      </c>
      <c r="M76" s="18">
        <v>0.23</v>
      </c>
    </row>
    <row r="77" spans="1:13" ht="15.6" x14ac:dyDescent="0.3">
      <c r="A77" s="9">
        <v>71</v>
      </c>
      <c r="B77" s="18">
        <v>18</v>
      </c>
      <c r="C77" s="21" t="s">
        <v>289</v>
      </c>
      <c r="D77" s="18">
        <v>100</v>
      </c>
      <c r="E77" s="18">
        <v>1.68</v>
      </c>
      <c r="F77" s="18">
        <v>4.7E-2</v>
      </c>
      <c r="G77" s="18">
        <v>5</v>
      </c>
      <c r="H77" s="18">
        <v>20</v>
      </c>
      <c r="I77" s="19">
        <v>5.1999999999999998E-2</v>
      </c>
      <c r="J77" s="18">
        <v>7.5999999999999998E-2</v>
      </c>
      <c r="K77" s="18">
        <v>0.85</v>
      </c>
      <c r="L77" s="18">
        <v>1.18</v>
      </c>
      <c r="M77" s="18">
        <v>0.15</v>
      </c>
    </row>
    <row r="78" spans="1:13" ht="15.6" x14ac:dyDescent="0.3">
      <c r="A78" s="9">
        <v>72</v>
      </c>
      <c r="B78" s="18">
        <v>19</v>
      </c>
      <c r="C78" s="21" t="s">
        <v>290</v>
      </c>
      <c r="D78" s="18">
        <v>15</v>
      </c>
      <c r="E78" s="18">
        <v>1.68</v>
      </c>
      <c r="F78" s="18">
        <v>4.7E-2</v>
      </c>
      <c r="G78" s="18">
        <v>7</v>
      </c>
      <c r="H78" s="18">
        <v>30</v>
      </c>
      <c r="I78" s="19">
        <v>5.8000000000000003E-2</v>
      </c>
      <c r="J78" s="18">
        <v>6.4000000000000001E-2</v>
      </c>
      <c r="K78" s="18">
        <v>0.27</v>
      </c>
      <c r="L78" s="18">
        <v>0.34</v>
      </c>
      <c r="M78" s="18">
        <v>0.51</v>
      </c>
    </row>
    <row r="79" spans="1:13" ht="15.6" x14ac:dyDescent="0.3">
      <c r="A79" s="9">
        <v>73</v>
      </c>
      <c r="B79" s="18">
        <v>20</v>
      </c>
      <c r="C79" s="21" t="s">
        <v>291</v>
      </c>
      <c r="D79" s="18">
        <v>25</v>
      </c>
      <c r="E79" s="18">
        <v>1.68</v>
      </c>
      <c r="F79" s="18">
        <v>4.2999999999999997E-2</v>
      </c>
      <c r="G79" s="18">
        <v>7</v>
      </c>
      <c r="H79" s="18">
        <v>30</v>
      </c>
      <c r="I79" s="19">
        <v>6.3E-2</v>
      </c>
      <c r="J79" s="18">
        <v>7.3999999999999996E-2</v>
      </c>
      <c r="K79" s="18">
        <v>0.36</v>
      </c>
      <c r="L79" s="18">
        <v>0.47</v>
      </c>
      <c r="M79" s="18">
        <v>0.42</v>
      </c>
    </row>
    <row r="80" spans="1:13" ht="15.6" x14ac:dyDescent="0.3">
      <c r="A80" s="9">
        <v>74</v>
      </c>
      <c r="B80" s="18">
        <v>21</v>
      </c>
      <c r="C80" s="21" t="s">
        <v>292</v>
      </c>
      <c r="D80" s="18">
        <v>30</v>
      </c>
      <c r="E80" s="18">
        <v>1.68</v>
      </c>
      <c r="F80" s="18">
        <v>4.1000000000000002E-2</v>
      </c>
      <c r="G80" s="18">
        <v>7</v>
      </c>
      <c r="H80" s="18">
        <v>30</v>
      </c>
      <c r="I80" s="19">
        <v>7.0000000000000007E-2</v>
      </c>
      <c r="J80" s="18">
        <v>8.5000000000000006E-2</v>
      </c>
      <c r="K80" s="18">
        <v>0.42</v>
      </c>
      <c r="L80" s="18">
        <v>0.56000000000000005</v>
      </c>
      <c r="M80" s="18">
        <v>0.4</v>
      </c>
    </row>
    <row r="81" spans="1:13" ht="15.6" x14ac:dyDescent="0.3">
      <c r="A81" s="9">
        <v>75</v>
      </c>
      <c r="B81" s="18">
        <v>22</v>
      </c>
      <c r="C81" s="21" t="s">
        <v>293</v>
      </c>
      <c r="D81" s="18">
        <v>30</v>
      </c>
      <c r="E81" s="18">
        <v>1.34</v>
      </c>
      <c r="F81" s="18">
        <v>4.2999999999999997E-2</v>
      </c>
      <c r="G81" s="18">
        <v>2</v>
      </c>
      <c r="H81" s="18">
        <v>5</v>
      </c>
      <c r="I81" s="19">
        <v>4.3999999999999997E-2</v>
      </c>
      <c r="J81" s="18">
        <v>4.7E-2</v>
      </c>
      <c r="K81" s="18">
        <v>0.3</v>
      </c>
      <c r="L81" s="18">
        <v>0.33</v>
      </c>
      <c r="M81" s="18">
        <v>0.02</v>
      </c>
    </row>
    <row r="82" spans="1:13" ht="15.6" x14ac:dyDescent="0.3">
      <c r="A82" s="9">
        <v>76</v>
      </c>
      <c r="B82" s="18">
        <v>23</v>
      </c>
      <c r="C82" s="21" t="s">
        <v>294</v>
      </c>
      <c r="D82" s="18">
        <v>50</v>
      </c>
      <c r="E82" s="18">
        <v>1.34</v>
      </c>
      <c r="F82" s="18">
        <v>3.9E-2</v>
      </c>
      <c r="G82" s="18">
        <v>2</v>
      </c>
      <c r="H82" s="18">
        <v>5</v>
      </c>
      <c r="I82" s="19">
        <v>4.2000000000000003E-2</v>
      </c>
      <c r="J82" s="18">
        <v>4.4999999999999998E-2</v>
      </c>
      <c r="K82" s="18">
        <v>0.38</v>
      </c>
      <c r="L82" s="18">
        <v>0.41</v>
      </c>
      <c r="M82" s="18">
        <v>0.02</v>
      </c>
    </row>
    <row r="83" spans="1:13" ht="15.6" x14ac:dyDescent="0.3">
      <c r="A83" s="9">
        <v>77</v>
      </c>
      <c r="B83" s="18">
        <v>24</v>
      </c>
      <c r="C83" s="21" t="s">
        <v>295</v>
      </c>
      <c r="D83" s="22">
        <v>30</v>
      </c>
      <c r="E83" s="22">
        <v>1.34</v>
      </c>
      <c r="F83" s="22">
        <v>3.7999999999999999E-2</v>
      </c>
      <c r="G83" s="22">
        <v>2</v>
      </c>
      <c r="H83" s="22">
        <v>5</v>
      </c>
      <c r="I83" s="23">
        <v>4.2000000000000003E-2</v>
      </c>
      <c r="J83" s="22">
        <v>4.2999999999999997E-2</v>
      </c>
      <c r="K83" s="22">
        <v>0.38</v>
      </c>
      <c r="L83" s="22">
        <v>0.4</v>
      </c>
      <c r="M83" s="22">
        <v>0.02</v>
      </c>
    </row>
    <row r="84" spans="1:13" ht="15.6" x14ac:dyDescent="0.3">
      <c r="A84" s="9">
        <v>78</v>
      </c>
      <c r="B84" s="18">
        <v>25</v>
      </c>
      <c r="C84" s="21" t="s">
        <v>241</v>
      </c>
      <c r="D84" s="22"/>
      <c r="E84" s="22"/>
      <c r="F84" s="22"/>
      <c r="G84" s="22"/>
      <c r="H84" s="22"/>
      <c r="I84" s="23">
        <v>1</v>
      </c>
      <c r="J84" s="22">
        <v>1</v>
      </c>
      <c r="K84" s="22"/>
      <c r="L84" s="22"/>
      <c r="M84" s="22">
        <v>1</v>
      </c>
    </row>
    <row r="85" spans="1:13" ht="15.6" x14ac:dyDescent="0.3">
      <c r="A85" s="9">
        <v>106</v>
      </c>
      <c r="C85" s="51" t="s">
        <v>198</v>
      </c>
      <c r="D85" s="10"/>
      <c r="E85" s="10"/>
      <c r="F85" s="10"/>
      <c r="G85" s="10"/>
      <c r="H85" s="10"/>
      <c r="I85" s="53"/>
      <c r="J85" s="10"/>
      <c r="K85" s="10"/>
      <c r="L85" s="10"/>
      <c r="M85" s="10"/>
    </row>
    <row r="86" spans="1:13" ht="15.6" x14ac:dyDescent="0.3">
      <c r="A86" s="9">
        <v>107</v>
      </c>
      <c r="B86" s="18">
        <v>1</v>
      </c>
      <c r="C86" s="21" t="s">
        <v>296</v>
      </c>
      <c r="D86" s="22">
        <v>200</v>
      </c>
      <c r="E86" s="22">
        <v>1.05</v>
      </c>
      <c r="F86" s="22">
        <v>6.4000000000000001E-2</v>
      </c>
      <c r="G86" s="22">
        <v>3</v>
      </c>
      <c r="H86" s="22">
        <v>12</v>
      </c>
      <c r="I86" s="23">
        <v>7.0000000000000007E-2</v>
      </c>
      <c r="J86" s="22">
        <v>0.09</v>
      </c>
      <c r="K86" s="22">
        <v>1.1000000000000001</v>
      </c>
      <c r="L86" s="22">
        <v>1.43</v>
      </c>
      <c r="M86" s="22">
        <v>0.23</v>
      </c>
    </row>
    <row r="87" spans="1:13" ht="15.6" x14ac:dyDescent="0.3">
      <c r="A87" s="9">
        <v>108</v>
      </c>
      <c r="B87" s="18">
        <v>2</v>
      </c>
      <c r="C87" s="21" t="s">
        <v>297</v>
      </c>
      <c r="D87" s="22">
        <v>300</v>
      </c>
      <c r="E87" s="22">
        <v>1.05</v>
      </c>
      <c r="F87" s="22">
        <v>7.5999999999999998E-2</v>
      </c>
      <c r="G87" s="22">
        <v>3</v>
      </c>
      <c r="H87" s="22">
        <v>12</v>
      </c>
      <c r="I87" s="23">
        <v>0.08</v>
      </c>
      <c r="J87" s="22">
        <v>0.12</v>
      </c>
      <c r="K87" s="22">
        <v>1.43</v>
      </c>
      <c r="L87" s="22">
        <v>2.02</v>
      </c>
      <c r="M87" s="22">
        <v>0.2</v>
      </c>
    </row>
    <row r="88" spans="1:13" ht="15.6" x14ac:dyDescent="0.3">
      <c r="A88" s="9">
        <v>109</v>
      </c>
      <c r="B88" s="18">
        <v>3</v>
      </c>
      <c r="C88" s="21" t="s">
        <v>298</v>
      </c>
      <c r="D88" s="22">
        <v>200</v>
      </c>
      <c r="E88" s="22">
        <v>1.06</v>
      </c>
      <c r="F88" s="22">
        <v>6.5000000000000002E-2</v>
      </c>
      <c r="G88" s="22">
        <v>4</v>
      </c>
      <c r="H88" s="22">
        <v>8</v>
      </c>
      <c r="I88" s="23">
        <v>7.0000000000000007E-2</v>
      </c>
      <c r="J88" s="22">
        <v>0.08</v>
      </c>
      <c r="K88" s="22">
        <v>1.1200000000000001</v>
      </c>
      <c r="L88" s="22">
        <v>1.28</v>
      </c>
      <c r="M88" s="22">
        <v>0.12</v>
      </c>
    </row>
    <row r="89" spans="1:13" ht="15.6" x14ac:dyDescent="0.3">
      <c r="A89" s="9">
        <v>110</v>
      </c>
      <c r="B89" s="18">
        <v>4</v>
      </c>
      <c r="C89" s="21" t="s">
        <v>299</v>
      </c>
      <c r="D89" s="22">
        <v>300</v>
      </c>
      <c r="E89" s="22">
        <v>1.06</v>
      </c>
      <c r="F89" s="22">
        <v>8.5000000000000006E-2</v>
      </c>
      <c r="G89" s="22">
        <v>4</v>
      </c>
      <c r="H89" s="22">
        <v>8</v>
      </c>
      <c r="I89" s="23">
        <v>0.09</v>
      </c>
      <c r="J89" s="22">
        <v>0.11</v>
      </c>
      <c r="K89" s="22">
        <v>1.55</v>
      </c>
      <c r="L89" s="22">
        <v>1.83</v>
      </c>
      <c r="M89" s="22">
        <v>0.1</v>
      </c>
    </row>
    <row r="90" spans="1:13" ht="15.6" x14ac:dyDescent="0.3">
      <c r="A90" s="9">
        <v>111</v>
      </c>
      <c r="B90" s="18">
        <v>5</v>
      </c>
      <c r="C90" s="21" t="s">
        <v>300</v>
      </c>
      <c r="D90" s="22">
        <v>600</v>
      </c>
      <c r="E90" s="22">
        <v>1.06</v>
      </c>
      <c r="F90" s="22">
        <v>0.14499999999999999</v>
      </c>
      <c r="G90" s="22">
        <v>4</v>
      </c>
      <c r="H90" s="22">
        <v>8</v>
      </c>
      <c r="I90" s="23">
        <v>0.17499999999999999</v>
      </c>
      <c r="J90" s="22">
        <v>0.2</v>
      </c>
      <c r="K90" s="22">
        <v>3.07</v>
      </c>
      <c r="L90" s="22">
        <v>3.49</v>
      </c>
      <c r="M90" s="22">
        <v>6.8000000000000005E-2</v>
      </c>
    </row>
    <row r="91" spans="1:13" ht="15.6" x14ac:dyDescent="0.3">
      <c r="A91" s="9">
        <v>112</v>
      </c>
      <c r="B91" s="18">
        <v>6</v>
      </c>
      <c r="C91" s="21" t="s">
        <v>301</v>
      </c>
      <c r="D91" s="22">
        <v>300</v>
      </c>
      <c r="E91" s="22">
        <v>0.84</v>
      </c>
      <c r="F91" s="22">
        <v>7.4999999999999997E-2</v>
      </c>
      <c r="G91" s="22">
        <v>10</v>
      </c>
      <c r="H91" s="22">
        <v>15</v>
      </c>
      <c r="I91" s="23">
        <v>9.8000000000000004E-2</v>
      </c>
      <c r="J91" s="22">
        <v>0.108</v>
      </c>
      <c r="K91" s="22">
        <v>0.92</v>
      </c>
      <c r="L91" s="22">
        <v>1.26</v>
      </c>
      <c r="M91" s="22">
        <v>0.19800000000000001</v>
      </c>
    </row>
    <row r="92" spans="1:13" ht="15.6" x14ac:dyDescent="0.3">
      <c r="A92" s="9">
        <v>113</v>
      </c>
      <c r="B92" s="18">
        <v>7</v>
      </c>
      <c r="C92" s="21" t="s">
        <v>302</v>
      </c>
      <c r="D92" s="22">
        <v>450</v>
      </c>
      <c r="E92" s="22">
        <v>0.84</v>
      </c>
      <c r="F92" s="22">
        <v>8.5999999999999993E-2</v>
      </c>
      <c r="G92" s="22">
        <v>10</v>
      </c>
      <c r="H92" s="22">
        <v>15</v>
      </c>
      <c r="I92" s="23">
        <v>0.11799999999999999</v>
      </c>
      <c r="J92" s="22">
        <v>0.20200000000000001</v>
      </c>
      <c r="K92" s="22">
        <v>1.89</v>
      </c>
      <c r="L92" s="22">
        <v>2.63</v>
      </c>
      <c r="M92" s="22">
        <v>0.18</v>
      </c>
    </row>
    <row r="93" spans="1:13" ht="15.6" x14ac:dyDescent="0.3">
      <c r="A93" s="9">
        <v>114</v>
      </c>
      <c r="B93" s="18">
        <v>8</v>
      </c>
      <c r="C93" s="21" t="s">
        <v>303</v>
      </c>
      <c r="D93" s="22">
        <v>250</v>
      </c>
      <c r="E93" s="22">
        <v>0.84</v>
      </c>
      <c r="F93" s="22">
        <v>7.1999999999999995E-2</v>
      </c>
      <c r="G93" s="22">
        <v>10</v>
      </c>
      <c r="H93" s="22">
        <v>15</v>
      </c>
      <c r="I93" s="23">
        <v>8.3000000000000004E-2</v>
      </c>
      <c r="J93" s="22">
        <v>9.0999999999999998E-2</v>
      </c>
      <c r="K93" s="22">
        <v>1.38</v>
      </c>
      <c r="L93" s="22">
        <v>1.55</v>
      </c>
      <c r="M93" s="22">
        <v>0.2</v>
      </c>
    </row>
    <row r="94" spans="1:13" ht="15.6" x14ac:dyDescent="0.3">
      <c r="A94" s="9">
        <v>115</v>
      </c>
      <c r="B94" s="18">
        <v>9</v>
      </c>
      <c r="C94" s="21" t="s">
        <v>304</v>
      </c>
      <c r="D94" s="22">
        <v>300</v>
      </c>
      <c r="E94" s="22">
        <v>0.84</v>
      </c>
      <c r="F94" s="22">
        <v>8.2000000000000003E-2</v>
      </c>
      <c r="G94" s="22">
        <v>10</v>
      </c>
      <c r="H94" s="22">
        <v>15</v>
      </c>
      <c r="I94" s="23">
        <v>9.8000000000000004E-2</v>
      </c>
      <c r="J94" s="22">
        <v>0.11</v>
      </c>
      <c r="K94" s="22">
        <v>1.64</v>
      </c>
      <c r="L94" s="22">
        <v>1.85</v>
      </c>
      <c r="M94" s="22">
        <v>0.15</v>
      </c>
    </row>
    <row r="95" spans="1:13" ht="15.6" x14ac:dyDescent="0.3">
      <c r="A95" s="9">
        <v>116</v>
      </c>
      <c r="B95" s="18">
        <v>10</v>
      </c>
      <c r="C95" s="21" t="s">
        <v>305</v>
      </c>
      <c r="D95" s="22">
        <v>400</v>
      </c>
      <c r="E95" s="22">
        <v>0.84</v>
      </c>
      <c r="F95" s="22">
        <v>0.11</v>
      </c>
      <c r="G95" s="22">
        <v>10</v>
      </c>
      <c r="H95" s="22">
        <v>15</v>
      </c>
      <c r="I95" s="23">
        <v>0.14000000000000001</v>
      </c>
      <c r="J95" s="22">
        <v>0.16</v>
      </c>
      <c r="K95" s="22">
        <v>2.2599999999999998</v>
      </c>
      <c r="L95" s="22">
        <v>2.59</v>
      </c>
      <c r="M95" s="22">
        <v>0.1</v>
      </c>
    </row>
    <row r="96" spans="1:13" ht="15.6" x14ac:dyDescent="0.3">
      <c r="A96" s="9">
        <v>117</v>
      </c>
      <c r="B96" s="18">
        <v>11</v>
      </c>
      <c r="C96" s="21" t="s">
        <v>306</v>
      </c>
      <c r="D96" s="22">
        <v>500</v>
      </c>
      <c r="E96" s="22">
        <v>0.84</v>
      </c>
      <c r="F96" s="22">
        <v>8.4000000000000005E-2</v>
      </c>
      <c r="G96" s="22">
        <v>10</v>
      </c>
      <c r="H96" s="22">
        <v>15</v>
      </c>
      <c r="I96" s="23">
        <v>0.11</v>
      </c>
      <c r="J96" s="22">
        <v>0.13</v>
      </c>
      <c r="K96" s="22">
        <v>2.2400000000000002</v>
      </c>
      <c r="L96" s="22">
        <v>2.63</v>
      </c>
      <c r="M96" s="22">
        <v>0.33</v>
      </c>
    </row>
    <row r="97" spans="1:13" ht="15.6" x14ac:dyDescent="0.3">
      <c r="A97" s="9">
        <v>118</v>
      </c>
      <c r="B97" s="18">
        <v>12</v>
      </c>
      <c r="C97" s="21" t="s">
        <v>307</v>
      </c>
      <c r="D97" s="22">
        <v>600</v>
      </c>
      <c r="E97" s="22">
        <v>0.84</v>
      </c>
      <c r="F97" s="22">
        <v>0.09</v>
      </c>
      <c r="G97" s="22">
        <v>10</v>
      </c>
      <c r="H97" s="22">
        <v>15</v>
      </c>
      <c r="I97" s="23">
        <v>0.12</v>
      </c>
      <c r="J97" s="22">
        <v>0.14000000000000001</v>
      </c>
      <c r="K97" s="22">
        <v>2.57</v>
      </c>
      <c r="L97" s="22">
        <v>3.01</v>
      </c>
      <c r="M97" s="22">
        <v>0.3</v>
      </c>
    </row>
    <row r="98" spans="1:13" ht="15.6" x14ac:dyDescent="0.3">
      <c r="A98" s="9">
        <v>119</v>
      </c>
      <c r="B98" s="18">
        <v>13</v>
      </c>
      <c r="C98" s="21" t="s">
        <v>308</v>
      </c>
      <c r="D98" s="22">
        <v>650</v>
      </c>
      <c r="E98" s="22">
        <v>0.84</v>
      </c>
      <c r="F98" s="22">
        <v>9.2999999999999999E-2</v>
      </c>
      <c r="G98" s="22">
        <v>10</v>
      </c>
      <c r="H98" s="22">
        <v>15</v>
      </c>
      <c r="I98" s="23">
        <v>0.13</v>
      </c>
      <c r="J98" s="22">
        <v>0.15</v>
      </c>
      <c r="K98" s="22">
        <v>2.78</v>
      </c>
      <c r="L98" s="22">
        <v>3.22</v>
      </c>
      <c r="M98" s="22">
        <v>0.28999999999999998</v>
      </c>
    </row>
    <row r="99" spans="1:13" ht="15.6" x14ac:dyDescent="0.3">
      <c r="A99" s="9">
        <v>120</v>
      </c>
      <c r="B99" s="18">
        <v>14</v>
      </c>
      <c r="C99" s="21" t="s">
        <v>309</v>
      </c>
      <c r="D99" s="22">
        <v>250</v>
      </c>
      <c r="E99" s="22">
        <v>0.84</v>
      </c>
      <c r="F99" s="22">
        <v>6.6000000000000003E-2</v>
      </c>
      <c r="G99" s="22">
        <v>4</v>
      </c>
      <c r="H99" s="22">
        <v>8</v>
      </c>
      <c r="I99" s="23">
        <v>0.09</v>
      </c>
      <c r="J99" s="22">
        <v>0.1</v>
      </c>
      <c r="K99" s="22">
        <v>1.29</v>
      </c>
      <c r="L99" s="22">
        <v>1.45</v>
      </c>
      <c r="M99" s="22">
        <v>0.1</v>
      </c>
    </row>
    <row r="100" spans="1:13" ht="15.6" x14ac:dyDescent="0.3">
      <c r="A100" s="9">
        <v>121</v>
      </c>
      <c r="B100" s="18">
        <v>15</v>
      </c>
      <c r="C100" s="21" t="s">
        <v>310</v>
      </c>
      <c r="D100" s="22">
        <v>300</v>
      </c>
      <c r="E100" s="22">
        <v>0.84</v>
      </c>
      <c r="F100" s="22">
        <v>7.5999999999999998E-2</v>
      </c>
      <c r="G100" s="22">
        <v>4</v>
      </c>
      <c r="H100" s="22">
        <v>8</v>
      </c>
      <c r="I100" s="23">
        <v>0.1</v>
      </c>
      <c r="J100" s="22">
        <v>0.11</v>
      </c>
      <c r="K100" s="22">
        <v>1.53</v>
      </c>
      <c r="L100" s="22">
        <v>1.74</v>
      </c>
      <c r="M100" s="22">
        <v>9.5000000000000001E-2</v>
      </c>
    </row>
    <row r="101" spans="1:13" ht="15.6" x14ac:dyDescent="0.3">
      <c r="A101" s="9">
        <v>122</v>
      </c>
      <c r="B101" s="18">
        <v>16</v>
      </c>
      <c r="C101" s="21" t="s">
        <v>311</v>
      </c>
      <c r="D101" s="22">
        <v>400</v>
      </c>
      <c r="E101" s="22">
        <v>0.84</v>
      </c>
      <c r="F101" s="22">
        <v>9.6000000000000002E-2</v>
      </c>
      <c r="G101" s="22">
        <v>4</v>
      </c>
      <c r="H101" s="22">
        <v>8</v>
      </c>
      <c r="I101" s="23">
        <v>0.12</v>
      </c>
      <c r="J101" s="22">
        <v>0.15</v>
      </c>
      <c r="K101" s="22">
        <v>2.02</v>
      </c>
      <c r="L101" s="22">
        <v>2.33</v>
      </c>
      <c r="M101" s="22">
        <v>0.08</v>
      </c>
    </row>
    <row r="102" spans="1:13" ht="15.6" x14ac:dyDescent="0.3">
      <c r="A102" s="9">
        <v>123</v>
      </c>
      <c r="B102" s="18">
        <v>17</v>
      </c>
      <c r="C102" s="21" t="s">
        <v>312</v>
      </c>
      <c r="D102" s="22">
        <v>500</v>
      </c>
      <c r="E102" s="22">
        <v>0.84</v>
      </c>
      <c r="F102" s="22">
        <v>0.11600000000000001</v>
      </c>
      <c r="G102" s="22">
        <v>4</v>
      </c>
      <c r="H102" s="22">
        <v>8</v>
      </c>
      <c r="I102" s="23">
        <v>0.14000000000000001</v>
      </c>
      <c r="J102" s="22">
        <v>0.19</v>
      </c>
      <c r="K102" s="22">
        <v>2.5299999999999998</v>
      </c>
      <c r="L102" s="22">
        <v>2.95</v>
      </c>
      <c r="M102" s="22">
        <v>7.0000000000000007E-2</v>
      </c>
    </row>
    <row r="103" spans="1:13" ht="15.6" x14ac:dyDescent="0.3">
      <c r="A103" s="9">
        <v>124</v>
      </c>
      <c r="B103" s="18">
        <v>18</v>
      </c>
      <c r="C103" s="21" t="s">
        <v>313</v>
      </c>
      <c r="D103" s="22">
        <v>550</v>
      </c>
      <c r="E103" s="22">
        <v>0.84</v>
      </c>
      <c r="F103" s="22">
        <v>0.126</v>
      </c>
      <c r="G103" s="22">
        <v>4</v>
      </c>
      <c r="H103" s="22">
        <v>8</v>
      </c>
      <c r="I103" s="23">
        <v>0.15</v>
      </c>
      <c r="J103" s="22">
        <v>0.21</v>
      </c>
      <c r="K103" s="22">
        <v>2.78</v>
      </c>
      <c r="L103" s="22">
        <v>3.28</v>
      </c>
      <c r="M103" s="22">
        <v>6.8000000000000005E-2</v>
      </c>
    </row>
    <row r="104" spans="1:13" ht="15.6" x14ac:dyDescent="0.3">
      <c r="A104" s="9">
        <v>125</v>
      </c>
      <c r="B104" s="18">
        <v>19</v>
      </c>
      <c r="C104" s="21" t="s">
        <v>314</v>
      </c>
      <c r="D104" s="22">
        <v>160</v>
      </c>
      <c r="E104" s="22">
        <v>0.84</v>
      </c>
      <c r="F104" s="22">
        <v>5.8999999999999997E-2</v>
      </c>
      <c r="G104" s="22">
        <v>0.5</v>
      </c>
      <c r="H104" s="22">
        <v>1</v>
      </c>
      <c r="I104" s="23">
        <v>0.06</v>
      </c>
      <c r="J104" s="22">
        <v>6.0999999999999999E-2</v>
      </c>
      <c r="K104" s="22">
        <v>0.8</v>
      </c>
      <c r="L104" s="22">
        <v>0.81</v>
      </c>
      <c r="M104" s="22">
        <v>0</v>
      </c>
    </row>
    <row r="105" spans="1:13" ht="15.6" x14ac:dyDescent="0.3">
      <c r="A105" s="9">
        <v>126</v>
      </c>
      <c r="B105" s="18">
        <v>20</v>
      </c>
      <c r="C105" s="21" t="s">
        <v>315</v>
      </c>
      <c r="D105" s="22">
        <v>300</v>
      </c>
      <c r="E105" s="22">
        <v>0.84</v>
      </c>
      <c r="F105" s="22">
        <v>7.2999999999999995E-2</v>
      </c>
      <c r="G105" s="22">
        <v>3</v>
      </c>
      <c r="H105" s="22">
        <v>6</v>
      </c>
      <c r="I105" s="23">
        <v>0.08</v>
      </c>
      <c r="J105" s="22">
        <v>8.5999999999999993E-2</v>
      </c>
      <c r="K105" s="22">
        <v>1.3</v>
      </c>
      <c r="L105" s="22">
        <v>1.43</v>
      </c>
      <c r="M105" s="22">
        <v>0.28999999999999998</v>
      </c>
    </row>
    <row r="106" spans="1:13" ht="15.6" x14ac:dyDescent="0.3">
      <c r="A106" s="9">
        <v>127</v>
      </c>
      <c r="B106" s="18">
        <v>21</v>
      </c>
      <c r="C106" s="21" t="s">
        <v>316</v>
      </c>
      <c r="D106" s="22">
        <v>400</v>
      </c>
      <c r="E106" s="22">
        <v>0.84</v>
      </c>
      <c r="F106" s="22">
        <v>8.3000000000000004E-2</v>
      </c>
      <c r="G106" s="22">
        <v>3</v>
      </c>
      <c r="H106" s="22">
        <v>6</v>
      </c>
      <c r="I106" s="23">
        <v>0.09</v>
      </c>
      <c r="J106" s="22">
        <v>9.6000000000000002E-2</v>
      </c>
      <c r="K106" s="22">
        <v>1.59</v>
      </c>
      <c r="L106" s="22">
        <v>1.75</v>
      </c>
      <c r="M106" s="22">
        <v>0.23</v>
      </c>
    </row>
    <row r="107" spans="1:13" ht="15.6" x14ac:dyDescent="0.3">
      <c r="A107" s="9">
        <v>128</v>
      </c>
      <c r="B107" s="18">
        <v>22</v>
      </c>
      <c r="C107" s="21" t="s">
        <v>317</v>
      </c>
      <c r="D107" s="22">
        <v>500</v>
      </c>
      <c r="E107" s="22">
        <v>0.84</v>
      </c>
      <c r="F107" s="22">
        <v>9.2999999999999999E-2</v>
      </c>
      <c r="G107" s="22">
        <v>3</v>
      </c>
      <c r="H107" s="22">
        <v>6</v>
      </c>
      <c r="I107" s="23">
        <v>0.1</v>
      </c>
      <c r="J107" s="22">
        <v>0.11</v>
      </c>
      <c r="K107" s="22">
        <v>1.87</v>
      </c>
      <c r="L107" s="22">
        <v>2.1</v>
      </c>
      <c r="M107" s="22">
        <v>0.17</v>
      </c>
    </row>
    <row r="108" spans="1:13" ht="15.6" x14ac:dyDescent="0.3">
      <c r="A108" s="9">
        <v>129</v>
      </c>
      <c r="B108" s="18">
        <v>23</v>
      </c>
      <c r="C108" s="21" t="s">
        <v>318</v>
      </c>
      <c r="D108" s="22">
        <v>300</v>
      </c>
      <c r="E108" s="22">
        <v>2.2999999999999998</v>
      </c>
      <c r="F108" s="22">
        <v>7.0000000000000007E-2</v>
      </c>
      <c r="G108" s="22">
        <v>10</v>
      </c>
      <c r="H108" s="22">
        <v>15</v>
      </c>
      <c r="I108" s="23">
        <v>0.11</v>
      </c>
      <c r="J108" s="22">
        <v>0.14000000000000001</v>
      </c>
      <c r="K108" s="22">
        <v>2.56</v>
      </c>
      <c r="L108" s="22">
        <v>2.99</v>
      </c>
      <c r="M108" s="22">
        <v>0.3</v>
      </c>
    </row>
    <row r="109" spans="1:13" ht="15.6" x14ac:dyDescent="0.3">
      <c r="A109" s="9">
        <v>130</v>
      </c>
      <c r="B109" s="18">
        <v>24</v>
      </c>
      <c r="C109" s="21" t="s">
        <v>319</v>
      </c>
      <c r="D109" s="22">
        <v>400</v>
      </c>
      <c r="E109" s="22">
        <v>2.2999999999999998</v>
      </c>
      <c r="F109" s="22">
        <v>0.08</v>
      </c>
      <c r="G109" s="22">
        <v>10</v>
      </c>
      <c r="H109" s="22">
        <v>15</v>
      </c>
      <c r="I109" s="23">
        <v>0.13</v>
      </c>
      <c r="J109" s="22">
        <v>0.16</v>
      </c>
      <c r="K109" s="22">
        <v>3.21</v>
      </c>
      <c r="L109" s="22">
        <v>3.7</v>
      </c>
      <c r="M109" s="22">
        <v>0.26</v>
      </c>
    </row>
    <row r="110" spans="1:13" ht="15.6" x14ac:dyDescent="0.3">
      <c r="A110" s="9">
        <v>131</v>
      </c>
      <c r="B110" s="18">
        <v>25</v>
      </c>
      <c r="C110" s="21" t="s">
        <v>320</v>
      </c>
      <c r="D110" s="22">
        <v>600</v>
      </c>
      <c r="E110" s="22">
        <v>2.2999999999999998</v>
      </c>
      <c r="F110" s="22">
        <v>0.12</v>
      </c>
      <c r="G110" s="22">
        <v>10</v>
      </c>
      <c r="H110" s="22">
        <v>15</v>
      </c>
      <c r="I110" s="23">
        <v>0.18</v>
      </c>
      <c r="J110" s="22">
        <v>0.23</v>
      </c>
      <c r="K110" s="22">
        <v>4.63</v>
      </c>
      <c r="L110" s="22">
        <v>5.43</v>
      </c>
      <c r="M110" s="22">
        <v>0.11</v>
      </c>
    </row>
    <row r="111" spans="1:13" ht="15.6" x14ac:dyDescent="0.3">
      <c r="A111" s="9">
        <v>132</v>
      </c>
      <c r="B111" s="18">
        <v>26</v>
      </c>
      <c r="C111" s="21" t="s">
        <v>321</v>
      </c>
      <c r="D111" s="22">
        <v>800</v>
      </c>
      <c r="E111" s="22">
        <v>2.2999999999999998</v>
      </c>
      <c r="F111" s="22">
        <v>0.16</v>
      </c>
      <c r="G111" s="22">
        <v>10</v>
      </c>
      <c r="H111" s="22">
        <v>15</v>
      </c>
      <c r="I111" s="23">
        <v>0.24</v>
      </c>
      <c r="J111" s="22">
        <v>0.3</v>
      </c>
      <c r="K111" s="22">
        <v>6.17</v>
      </c>
      <c r="L111" s="22">
        <v>7.16</v>
      </c>
      <c r="M111" s="22">
        <v>0.11</v>
      </c>
    </row>
    <row r="112" spans="1:13" ht="15.6" x14ac:dyDescent="0.3">
      <c r="A112" s="9">
        <v>133</v>
      </c>
      <c r="B112" s="18">
        <v>27</v>
      </c>
      <c r="C112" s="21" t="s">
        <v>322</v>
      </c>
      <c r="D112" s="22">
        <v>200</v>
      </c>
      <c r="E112" s="22">
        <v>2.2999999999999998</v>
      </c>
      <c r="F112" s="22">
        <v>0.06</v>
      </c>
      <c r="G112" s="22">
        <v>10</v>
      </c>
      <c r="H112" s="22">
        <v>15</v>
      </c>
      <c r="I112" s="23">
        <v>7.0000000000000007E-2</v>
      </c>
      <c r="J112" s="22">
        <v>0.09</v>
      </c>
      <c r="K112" s="22">
        <v>1.67</v>
      </c>
      <c r="L112" s="22">
        <v>1.96</v>
      </c>
      <c r="M112" s="22">
        <v>0.49</v>
      </c>
    </row>
    <row r="113" spans="1:13" ht="15.6" x14ac:dyDescent="0.3">
      <c r="A113" s="9">
        <v>134</v>
      </c>
      <c r="B113" s="18">
        <v>28</v>
      </c>
      <c r="C113" s="21" t="s">
        <v>323</v>
      </c>
      <c r="D113" s="22">
        <v>300</v>
      </c>
      <c r="E113" s="22">
        <v>2.2999999999999998</v>
      </c>
      <c r="F113" s="22">
        <v>7.0000000000000007E-2</v>
      </c>
      <c r="G113" s="22">
        <v>10</v>
      </c>
      <c r="H113" s="22">
        <v>15</v>
      </c>
      <c r="I113" s="23">
        <v>0.09</v>
      </c>
      <c r="J113" s="22">
        <v>0.14000000000000001</v>
      </c>
      <c r="K113" s="22">
        <v>2.31</v>
      </c>
      <c r="L113" s="22">
        <v>2.99</v>
      </c>
      <c r="M113" s="22">
        <v>0.45</v>
      </c>
    </row>
    <row r="114" spans="1:13" ht="15.6" x14ac:dyDescent="0.3">
      <c r="A114" s="9">
        <v>135</v>
      </c>
      <c r="B114" s="18">
        <v>29</v>
      </c>
      <c r="C114" s="21" t="s">
        <v>324</v>
      </c>
      <c r="D114" s="22">
        <v>300</v>
      </c>
      <c r="E114" s="22">
        <v>1.68</v>
      </c>
      <c r="F114" s="22">
        <v>8.6999999999999994E-2</v>
      </c>
      <c r="G114" s="22">
        <v>1</v>
      </c>
      <c r="H114" s="22">
        <v>2</v>
      </c>
      <c r="I114" s="23">
        <v>0.09</v>
      </c>
      <c r="J114" s="22">
        <v>9.9000000000000005E-2</v>
      </c>
      <c r="K114" s="22">
        <v>1.84</v>
      </c>
      <c r="L114" s="22">
        <v>1.95</v>
      </c>
      <c r="M114" s="22">
        <v>0.04</v>
      </c>
    </row>
    <row r="115" spans="1:13" ht="15.6" x14ac:dyDescent="0.3">
      <c r="A115" s="9">
        <v>136</v>
      </c>
      <c r="B115" s="18">
        <v>30</v>
      </c>
      <c r="C115" s="21" t="s">
        <v>325</v>
      </c>
      <c r="D115" s="22">
        <v>400</v>
      </c>
      <c r="E115" s="22">
        <v>1.68</v>
      </c>
      <c r="F115" s="22">
        <v>0.111</v>
      </c>
      <c r="G115" s="22">
        <v>1</v>
      </c>
      <c r="H115" s="22">
        <v>2</v>
      </c>
      <c r="I115" s="23">
        <v>0.12</v>
      </c>
      <c r="J115" s="22">
        <v>0.13</v>
      </c>
      <c r="K115" s="22">
        <v>2.4500000000000002</v>
      </c>
      <c r="L115" s="22">
        <v>2.59</v>
      </c>
      <c r="M115" s="22">
        <v>0.04</v>
      </c>
    </row>
    <row r="116" spans="1:13" ht="15.6" x14ac:dyDescent="0.3">
      <c r="A116" s="9">
        <v>137</v>
      </c>
      <c r="B116" s="18">
        <v>31</v>
      </c>
      <c r="C116" s="21" t="s">
        <v>326</v>
      </c>
      <c r="D116" s="22">
        <v>200</v>
      </c>
      <c r="E116" s="22">
        <v>2.2999999999999998</v>
      </c>
      <c r="F116" s="22">
        <v>0.06</v>
      </c>
      <c r="G116" s="22">
        <v>10</v>
      </c>
      <c r="H116" s="22">
        <v>12</v>
      </c>
      <c r="I116" s="23">
        <v>7.0000000000000007E-2</v>
      </c>
      <c r="J116" s="22">
        <v>0.08</v>
      </c>
      <c r="K116" s="22">
        <v>1.67</v>
      </c>
      <c r="L116" s="22">
        <v>1.81</v>
      </c>
      <c r="M116" s="22">
        <v>0.24</v>
      </c>
    </row>
    <row r="117" spans="1:13" ht="15.6" x14ac:dyDescent="0.3">
      <c r="A117" s="9">
        <v>138</v>
      </c>
      <c r="B117" s="18">
        <v>32</v>
      </c>
      <c r="C117" s="21" t="s">
        <v>327</v>
      </c>
      <c r="D117" s="22">
        <v>400</v>
      </c>
      <c r="E117" s="22">
        <v>2.2999999999999998</v>
      </c>
      <c r="F117" s="22">
        <v>0.08</v>
      </c>
      <c r="G117" s="22">
        <v>10</v>
      </c>
      <c r="H117" s="22">
        <v>12</v>
      </c>
      <c r="I117" s="23">
        <v>0.11</v>
      </c>
      <c r="J117" s="22">
        <v>0.13</v>
      </c>
      <c r="K117" s="22">
        <v>2.95</v>
      </c>
      <c r="L117" s="22">
        <v>3.26</v>
      </c>
      <c r="M117" s="22">
        <v>0.19</v>
      </c>
    </row>
    <row r="118" spans="1:13" ht="15.6" x14ac:dyDescent="0.3">
      <c r="A118" s="9">
        <v>139</v>
      </c>
      <c r="B118" s="18">
        <v>33</v>
      </c>
      <c r="C118" s="21" t="s">
        <v>328</v>
      </c>
      <c r="D118" s="22">
        <v>600</v>
      </c>
      <c r="E118" s="22">
        <v>2.2999999999999998</v>
      </c>
      <c r="F118" s="22">
        <v>0.11</v>
      </c>
      <c r="G118" s="22">
        <v>10</v>
      </c>
      <c r="H118" s="22">
        <v>12</v>
      </c>
      <c r="I118" s="23">
        <v>0.13</v>
      </c>
      <c r="J118" s="22">
        <v>0.16</v>
      </c>
      <c r="K118" s="22">
        <v>3.93</v>
      </c>
      <c r="L118" s="22">
        <v>4.43</v>
      </c>
      <c r="M118" s="22">
        <v>0.13</v>
      </c>
    </row>
    <row r="119" spans="1:13" ht="15.6" x14ac:dyDescent="0.3">
      <c r="A119" s="9">
        <v>140</v>
      </c>
      <c r="B119" s="18">
        <v>34</v>
      </c>
      <c r="C119" s="21" t="s">
        <v>329</v>
      </c>
      <c r="D119" s="22">
        <v>800</v>
      </c>
      <c r="E119" s="22">
        <v>2.2999999999999998</v>
      </c>
      <c r="F119" s="22">
        <v>0.13</v>
      </c>
      <c r="G119" s="22">
        <v>10</v>
      </c>
      <c r="H119" s="22">
        <v>12</v>
      </c>
      <c r="I119" s="23">
        <v>0.19</v>
      </c>
      <c r="J119" s="22">
        <v>0.23</v>
      </c>
      <c r="K119" s="22">
        <v>5.49</v>
      </c>
      <c r="L119" s="22">
        <v>6.13</v>
      </c>
      <c r="M119" s="22">
        <v>0.12</v>
      </c>
    </row>
    <row r="120" spans="1:13" ht="15.6" x14ac:dyDescent="0.3">
      <c r="A120" s="9">
        <v>141</v>
      </c>
      <c r="B120" s="18">
        <v>35</v>
      </c>
      <c r="C120" s="21" t="s">
        <v>330</v>
      </c>
      <c r="D120" s="22">
        <v>1000</v>
      </c>
      <c r="E120" s="22">
        <v>2.2999999999999998</v>
      </c>
      <c r="F120" s="22">
        <v>0.15</v>
      </c>
      <c r="G120" s="22">
        <v>10</v>
      </c>
      <c r="H120" s="22">
        <v>12</v>
      </c>
      <c r="I120" s="23">
        <v>0.23</v>
      </c>
      <c r="J120" s="22">
        <v>0.28999999999999998</v>
      </c>
      <c r="K120" s="22">
        <v>6.75</v>
      </c>
      <c r="L120" s="22">
        <v>7.7</v>
      </c>
      <c r="M120" s="22">
        <v>0.12</v>
      </c>
    </row>
    <row r="121" spans="1:13" ht="15.6" x14ac:dyDescent="0.3">
      <c r="A121" s="9">
        <v>142</v>
      </c>
      <c r="B121" s="18">
        <v>36</v>
      </c>
      <c r="C121" s="21" t="s">
        <v>241</v>
      </c>
      <c r="D121" s="22"/>
      <c r="E121" s="22"/>
      <c r="F121" s="22"/>
      <c r="G121" s="22"/>
      <c r="H121" s="22"/>
      <c r="I121" s="23">
        <v>1</v>
      </c>
      <c r="J121" s="22">
        <v>1</v>
      </c>
      <c r="K121" s="22"/>
      <c r="L121" s="22"/>
      <c r="M121" s="22">
        <v>1</v>
      </c>
    </row>
    <row r="122" spans="1:13" ht="15.6" x14ac:dyDescent="0.3">
      <c r="A122" s="9">
        <v>159</v>
      </c>
      <c r="C122" s="51" t="s">
        <v>199</v>
      </c>
      <c r="D122" s="10"/>
      <c r="E122" s="10"/>
      <c r="F122" s="10"/>
      <c r="G122" s="10"/>
      <c r="H122" s="10"/>
      <c r="I122" s="53"/>
      <c r="J122" s="10"/>
      <c r="K122" s="10"/>
      <c r="L122" s="10"/>
      <c r="M122" s="10"/>
    </row>
    <row r="123" spans="1:13" ht="15.6" x14ac:dyDescent="0.3">
      <c r="A123" s="9">
        <v>160</v>
      </c>
      <c r="B123" s="18">
        <v>1</v>
      </c>
      <c r="C123" s="21" t="s">
        <v>331</v>
      </c>
      <c r="D123" s="22">
        <v>200</v>
      </c>
      <c r="E123" s="22">
        <v>0.84</v>
      </c>
      <c r="F123" s="22">
        <v>6.5000000000000002E-2</v>
      </c>
      <c r="G123" s="22">
        <v>4</v>
      </c>
      <c r="H123" s="22">
        <v>6</v>
      </c>
      <c r="I123" s="23">
        <v>6.9000000000000006E-2</v>
      </c>
      <c r="J123" s="22">
        <v>7.3999999999999996E-2</v>
      </c>
      <c r="K123" s="22">
        <v>1.01</v>
      </c>
      <c r="L123" s="22">
        <v>1.08</v>
      </c>
      <c r="M123" s="22">
        <v>0.28000000000000003</v>
      </c>
    </row>
    <row r="124" spans="1:13" ht="15.6" x14ac:dyDescent="0.3">
      <c r="A124" s="9">
        <v>161</v>
      </c>
      <c r="B124" s="18">
        <v>2</v>
      </c>
      <c r="C124" s="21" t="s">
        <v>332</v>
      </c>
      <c r="D124" s="22">
        <v>300</v>
      </c>
      <c r="E124" s="22">
        <v>0.84</v>
      </c>
      <c r="F124" s="22">
        <v>0.08</v>
      </c>
      <c r="G124" s="22">
        <v>4</v>
      </c>
      <c r="H124" s="22">
        <v>6</v>
      </c>
      <c r="I124" s="23">
        <v>0.09</v>
      </c>
      <c r="J124" s="22">
        <v>0.1</v>
      </c>
      <c r="K124" s="22">
        <v>1.41</v>
      </c>
      <c r="L124" s="22">
        <v>1.48</v>
      </c>
      <c r="M124" s="22">
        <v>0.26</v>
      </c>
    </row>
    <row r="125" spans="1:13" ht="15.6" x14ac:dyDescent="0.3">
      <c r="A125" s="9">
        <v>162</v>
      </c>
      <c r="B125" s="18">
        <v>3</v>
      </c>
      <c r="C125" s="21" t="s">
        <v>333</v>
      </c>
      <c r="D125" s="22">
        <v>400</v>
      </c>
      <c r="E125" s="22">
        <v>0.84</v>
      </c>
      <c r="F125" s="22">
        <v>0.1</v>
      </c>
      <c r="G125" s="22">
        <v>4</v>
      </c>
      <c r="H125" s="22">
        <v>6</v>
      </c>
      <c r="I125" s="23">
        <v>0.11</v>
      </c>
      <c r="J125" s="22">
        <v>0.13</v>
      </c>
      <c r="K125" s="22">
        <v>1.84</v>
      </c>
      <c r="L125" s="22">
        <v>2.1</v>
      </c>
      <c r="M125" s="22">
        <v>0.23</v>
      </c>
    </row>
    <row r="126" spans="1:13" ht="15.6" x14ac:dyDescent="0.3">
      <c r="A126" s="9">
        <v>163</v>
      </c>
      <c r="B126" s="18">
        <v>4</v>
      </c>
      <c r="C126" s="21" t="s">
        <v>334</v>
      </c>
      <c r="D126" s="22">
        <v>500</v>
      </c>
      <c r="E126" s="22">
        <v>0.84</v>
      </c>
      <c r="F126" s="22">
        <v>0.12</v>
      </c>
      <c r="G126" s="22">
        <v>4</v>
      </c>
      <c r="H126" s="22">
        <v>6</v>
      </c>
      <c r="I126" s="23">
        <v>0.15</v>
      </c>
      <c r="J126" s="22">
        <v>0.16</v>
      </c>
      <c r="K126" s="22">
        <v>2.38</v>
      </c>
      <c r="L126" s="22">
        <v>2.48</v>
      </c>
      <c r="M126" s="22">
        <v>0.2</v>
      </c>
    </row>
    <row r="127" spans="1:13" ht="15" customHeight="1" x14ac:dyDescent="0.3">
      <c r="A127" s="9">
        <v>164</v>
      </c>
      <c r="B127" s="18">
        <v>5</v>
      </c>
      <c r="C127" s="21" t="s">
        <v>335</v>
      </c>
      <c r="D127" s="22">
        <v>400</v>
      </c>
      <c r="E127" s="22">
        <v>0.84</v>
      </c>
      <c r="F127" s="22">
        <v>0.09</v>
      </c>
      <c r="G127" s="22">
        <v>8</v>
      </c>
      <c r="H127" s="22">
        <v>13</v>
      </c>
      <c r="I127" s="23">
        <v>0.11</v>
      </c>
      <c r="J127" s="22">
        <v>0.13</v>
      </c>
      <c r="K127" s="22">
        <v>1.94</v>
      </c>
      <c r="L127" s="22">
        <v>2.29</v>
      </c>
      <c r="M127" s="22">
        <v>0.19</v>
      </c>
    </row>
    <row r="128" spans="1:13" ht="15.6" x14ac:dyDescent="0.3">
      <c r="A128" s="9">
        <v>165</v>
      </c>
      <c r="B128" s="18">
        <v>6</v>
      </c>
      <c r="C128" s="21" t="s">
        <v>336</v>
      </c>
      <c r="D128" s="22">
        <v>600</v>
      </c>
      <c r="E128" s="22">
        <v>0.84</v>
      </c>
      <c r="F128" s="22">
        <v>0.14000000000000001</v>
      </c>
      <c r="G128" s="22">
        <v>8</v>
      </c>
      <c r="H128" s="22">
        <v>13</v>
      </c>
      <c r="I128" s="23">
        <v>0.16</v>
      </c>
      <c r="J128" s="22">
        <v>0.17</v>
      </c>
      <c r="K128" s="22">
        <v>2.87</v>
      </c>
      <c r="L128" s="22">
        <v>3.21</v>
      </c>
      <c r="M128" s="22">
        <v>0.15</v>
      </c>
    </row>
    <row r="129" spans="1:13" ht="15.6" x14ac:dyDescent="0.3">
      <c r="A129" s="9">
        <v>166</v>
      </c>
      <c r="B129" s="18">
        <v>7</v>
      </c>
      <c r="C129" s="21" t="s">
        <v>337</v>
      </c>
      <c r="D129" s="22">
        <v>800</v>
      </c>
      <c r="E129" s="22">
        <v>0.84</v>
      </c>
      <c r="F129" s="22">
        <v>0.21</v>
      </c>
      <c r="G129" s="22">
        <v>8</v>
      </c>
      <c r="H129" s="22">
        <v>13</v>
      </c>
      <c r="I129" s="23">
        <v>0.23</v>
      </c>
      <c r="J129" s="22">
        <v>0.26</v>
      </c>
      <c r="K129" s="22">
        <v>3.97</v>
      </c>
      <c r="L129" s="22">
        <v>4.58</v>
      </c>
      <c r="M129" s="22">
        <v>0.12</v>
      </c>
    </row>
    <row r="130" spans="1:13" ht="15.6" x14ac:dyDescent="0.3">
      <c r="A130" s="9">
        <v>167</v>
      </c>
      <c r="B130" s="18">
        <v>8</v>
      </c>
      <c r="C130" s="21" t="s">
        <v>241</v>
      </c>
      <c r="D130" s="22"/>
      <c r="E130" s="22"/>
      <c r="F130" s="22"/>
      <c r="G130" s="22"/>
      <c r="H130" s="22"/>
      <c r="I130" s="23">
        <v>1</v>
      </c>
      <c r="J130" s="22">
        <v>1</v>
      </c>
      <c r="K130" s="22"/>
      <c r="L130" s="22"/>
      <c r="M130" s="22">
        <v>1</v>
      </c>
    </row>
    <row r="131" spans="1:13" ht="15.6" x14ac:dyDescent="0.3">
      <c r="A131" s="9">
        <v>212</v>
      </c>
      <c r="C131" s="51" t="s">
        <v>224</v>
      </c>
      <c r="D131" s="10"/>
      <c r="E131" s="10"/>
      <c r="F131" s="10"/>
      <c r="G131" s="10"/>
      <c r="H131" s="10"/>
      <c r="I131" s="53"/>
      <c r="J131" s="10"/>
      <c r="K131" s="10"/>
      <c r="L131" s="10"/>
      <c r="M131" s="10"/>
    </row>
    <row r="132" spans="1:13" ht="15.6" x14ac:dyDescent="0.3">
      <c r="A132" s="9">
        <v>213</v>
      </c>
      <c r="B132" s="18">
        <v>1</v>
      </c>
      <c r="C132" s="21" t="s">
        <v>338</v>
      </c>
      <c r="D132" s="22">
        <v>300</v>
      </c>
      <c r="E132" s="22">
        <v>0.84</v>
      </c>
      <c r="F132" s="22">
        <v>0.112</v>
      </c>
      <c r="G132" s="22">
        <v>1</v>
      </c>
      <c r="H132" s="22">
        <v>2</v>
      </c>
      <c r="I132" s="23">
        <v>0.115</v>
      </c>
      <c r="J132" s="22">
        <v>0.12</v>
      </c>
      <c r="K132" s="22">
        <v>1.42</v>
      </c>
      <c r="L132" s="22">
        <v>1.51</v>
      </c>
      <c r="M132" s="22">
        <v>0.26</v>
      </c>
    </row>
    <row r="133" spans="1:13" ht="15.6" x14ac:dyDescent="0.3">
      <c r="A133" s="9">
        <v>214</v>
      </c>
      <c r="B133" s="18">
        <v>2</v>
      </c>
      <c r="C133" s="21" t="s">
        <v>339</v>
      </c>
      <c r="D133" s="22">
        <v>300</v>
      </c>
      <c r="E133" s="22">
        <v>0.84</v>
      </c>
      <c r="F133" s="22">
        <v>0.112</v>
      </c>
      <c r="G133" s="22">
        <v>1</v>
      </c>
      <c r="H133" s="22">
        <v>3</v>
      </c>
      <c r="I133" s="23">
        <v>0.12</v>
      </c>
      <c r="J133" s="22">
        <v>0.13</v>
      </c>
      <c r="K133" s="22">
        <v>1.56</v>
      </c>
      <c r="L133" s="22">
        <v>1.65</v>
      </c>
      <c r="M133" s="22">
        <v>0.22</v>
      </c>
    </row>
    <row r="134" spans="1:13" ht="15.6" x14ac:dyDescent="0.3">
      <c r="A134" s="9">
        <v>215</v>
      </c>
      <c r="B134" s="18">
        <v>3</v>
      </c>
      <c r="C134" s="21" t="s">
        <v>340</v>
      </c>
      <c r="D134" s="22">
        <v>350</v>
      </c>
      <c r="E134" s="22">
        <v>0.84</v>
      </c>
      <c r="F134" s="22">
        <v>0.16200000000000001</v>
      </c>
      <c r="G134" s="22">
        <v>1</v>
      </c>
      <c r="H134" s="22">
        <v>3</v>
      </c>
      <c r="I134" s="23">
        <v>0.17</v>
      </c>
      <c r="J134" s="22">
        <v>0.19</v>
      </c>
      <c r="K134" s="22">
        <v>2</v>
      </c>
      <c r="L134" s="22">
        <v>2.16</v>
      </c>
      <c r="M134" s="22">
        <v>0.21</v>
      </c>
    </row>
    <row r="135" spans="1:13" ht="15.6" x14ac:dyDescent="0.3">
      <c r="A135" s="9">
        <v>216</v>
      </c>
      <c r="B135" s="18">
        <v>4</v>
      </c>
      <c r="C135" s="21" t="s">
        <v>341</v>
      </c>
      <c r="D135" s="22">
        <v>250</v>
      </c>
      <c r="E135" s="22">
        <v>0.84</v>
      </c>
      <c r="F135" s="22">
        <v>0.112</v>
      </c>
      <c r="G135" s="22">
        <v>2</v>
      </c>
      <c r="H135" s="22">
        <v>3</v>
      </c>
      <c r="I135" s="23">
        <v>0.13</v>
      </c>
      <c r="J135" s="22">
        <v>0.15</v>
      </c>
      <c r="K135" s="22">
        <v>1.48</v>
      </c>
      <c r="L135" s="22">
        <v>1.62</v>
      </c>
      <c r="M135" s="22">
        <v>0.26</v>
      </c>
    </row>
    <row r="136" spans="1:13" ht="15.6" x14ac:dyDescent="0.3">
      <c r="A136" s="9">
        <v>217</v>
      </c>
      <c r="B136" s="18">
        <v>5</v>
      </c>
      <c r="C136" s="21" t="s">
        <v>342</v>
      </c>
      <c r="D136" s="22">
        <v>200</v>
      </c>
      <c r="E136" s="22">
        <v>0.84</v>
      </c>
      <c r="F136" s="22">
        <v>9.9000000000000005E-2</v>
      </c>
      <c r="G136" s="22">
        <v>2</v>
      </c>
      <c r="H136" s="22">
        <v>3</v>
      </c>
      <c r="I136" s="23">
        <v>0.11</v>
      </c>
      <c r="J136" s="22">
        <v>0.12</v>
      </c>
      <c r="K136" s="22">
        <v>1.22</v>
      </c>
      <c r="L136" s="22">
        <v>1.3</v>
      </c>
      <c r="M136" s="22">
        <v>0.26</v>
      </c>
    </row>
    <row r="137" spans="1:13" ht="15.6" x14ac:dyDescent="0.3">
      <c r="A137" s="9">
        <v>218</v>
      </c>
      <c r="B137" s="18">
        <v>6</v>
      </c>
      <c r="C137" s="21" t="s">
        <v>343</v>
      </c>
      <c r="D137" s="22">
        <v>300</v>
      </c>
      <c r="E137" s="22">
        <v>0.84</v>
      </c>
      <c r="F137" s="22">
        <v>0.14000000000000001</v>
      </c>
      <c r="G137" s="22">
        <v>2</v>
      </c>
      <c r="H137" s="22">
        <v>3</v>
      </c>
      <c r="I137" s="23">
        <v>0.12</v>
      </c>
      <c r="J137" s="22">
        <v>0.13</v>
      </c>
      <c r="K137" s="22">
        <v>1.56</v>
      </c>
      <c r="L137" s="22">
        <v>1.66</v>
      </c>
      <c r="M137" s="22">
        <v>0.25</v>
      </c>
    </row>
    <row r="138" spans="1:13" ht="15.6" x14ac:dyDescent="0.3">
      <c r="A138" s="9">
        <v>219</v>
      </c>
      <c r="B138" s="18">
        <v>7</v>
      </c>
      <c r="C138" s="21" t="s">
        <v>344</v>
      </c>
      <c r="D138" s="22">
        <v>400</v>
      </c>
      <c r="E138" s="22">
        <v>0.84</v>
      </c>
      <c r="F138" s="22">
        <v>0.12</v>
      </c>
      <c r="G138" s="22">
        <v>2</v>
      </c>
      <c r="H138" s="22">
        <v>3</v>
      </c>
      <c r="I138" s="23">
        <v>0.13</v>
      </c>
      <c r="J138" s="22">
        <v>0.14000000000000001</v>
      </c>
      <c r="K138" s="22">
        <v>1.87</v>
      </c>
      <c r="L138" s="22">
        <v>1.99</v>
      </c>
      <c r="M138" s="22">
        <v>0.24</v>
      </c>
    </row>
    <row r="139" spans="1:13" ht="15.6" x14ac:dyDescent="0.3">
      <c r="A139" s="9">
        <v>220</v>
      </c>
      <c r="B139" s="18">
        <v>8</v>
      </c>
      <c r="C139" s="21" t="s">
        <v>345</v>
      </c>
      <c r="D139" s="22">
        <v>600</v>
      </c>
      <c r="E139" s="22">
        <v>0.84</v>
      </c>
      <c r="F139" s="22">
        <v>0.14000000000000001</v>
      </c>
      <c r="G139" s="22">
        <v>2</v>
      </c>
      <c r="H139" s="22">
        <v>3</v>
      </c>
      <c r="I139" s="23">
        <v>0.17</v>
      </c>
      <c r="J139" s="22">
        <v>0.2</v>
      </c>
      <c r="K139" s="22">
        <v>2.62</v>
      </c>
      <c r="L139" s="22">
        <v>2.91</v>
      </c>
      <c r="M139" s="22">
        <v>0.23</v>
      </c>
    </row>
    <row r="140" spans="1:13" ht="15.6" x14ac:dyDescent="0.3">
      <c r="A140" s="9">
        <v>221</v>
      </c>
      <c r="B140" s="18">
        <v>9</v>
      </c>
      <c r="C140" s="21" t="s">
        <v>346</v>
      </c>
      <c r="D140" s="22">
        <v>800</v>
      </c>
      <c r="E140" s="22">
        <v>0.84</v>
      </c>
      <c r="F140" s="22">
        <v>0.18</v>
      </c>
      <c r="G140" s="22">
        <v>2</v>
      </c>
      <c r="H140" s="22">
        <v>3</v>
      </c>
      <c r="I140" s="23">
        <v>0.21</v>
      </c>
      <c r="J140" s="22">
        <v>0.23</v>
      </c>
      <c r="K140" s="22">
        <v>3.36</v>
      </c>
      <c r="L140" s="22">
        <v>3.6</v>
      </c>
      <c r="M140" s="22">
        <v>0.21</v>
      </c>
    </row>
    <row r="141" spans="1:13" ht="15.6" x14ac:dyDescent="0.3">
      <c r="A141" s="9">
        <v>222</v>
      </c>
      <c r="B141" s="18">
        <v>10</v>
      </c>
      <c r="C141" s="21" t="s">
        <v>347</v>
      </c>
      <c r="D141" s="22">
        <v>400</v>
      </c>
      <c r="E141" s="22">
        <v>0.84</v>
      </c>
      <c r="F141" s="22">
        <v>0.17</v>
      </c>
      <c r="G141" s="22">
        <v>2</v>
      </c>
      <c r="H141" s="22">
        <v>3</v>
      </c>
      <c r="I141" s="23">
        <v>0.21</v>
      </c>
      <c r="J141" s="22">
        <v>0.23</v>
      </c>
      <c r="K141" s="22">
        <v>2.35</v>
      </c>
      <c r="L141" s="22">
        <v>2.52</v>
      </c>
      <c r="M141" s="22">
        <v>0.24</v>
      </c>
    </row>
    <row r="142" spans="1:13" ht="15.6" x14ac:dyDescent="0.3">
      <c r="A142" s="9">
        <v>223</v>
      </c>
      <c r="B142" s="18">
        <v>11</v>
      </c>
      <c r="C142" s="21" t="s">
        <v>348</v>
      </c>
      <c r="D142" s="22">
        <v>100</v>
      </c>
      <c r="E142" s="22">
        <v>0.84</v>
      </c>
      <c r="F142" s="22">
        <v>6.4000000000000001E-2</v>
      </c>
      <c r="G142" s="22">
        <v>1</v>
      </c>
      <c r="H142" s="22">
        <v>3</v>
      </c>
      <c r="I142" s="23">
        <v>7.5999999999999998E-2</v>
      </c>
      <c r="J142" s="22">
        <v>0.08</v>
      </c>
      <c r="K142" s="22">
        <v>0.7</v>
      </c>
      <c r="L142" s="22">
        <v>0.75</v>
      </c>
      <c r="M142" s="22">
        <v>0.3</v>
      </c>
    </row>
    <row r="143" spans="1:13" ht="15.6" x14ac:dyDescent="0.3">
      <c r="A143" s="9">
        <v>224</v>
      </c>
      <c r="B143" s="18">
        <v>12</v>
      </c>
      <c r="C143" s="21" t="s">
        <v>349</v>
      </c>
      <c r="D143" s="22">
        <v>200</v>
      </c>
      <c r="E143" s="22">
        <v>0.84</v>
      </c>
      <c r="F143" s="22">
        <v>7.5999999999999998E-2</v>
      </c>
      <c r="G143" s="22">
        <v>1</v>
      </c>
      <c r="H143" s="22">
        <v>3</v>
      </c>
      <c r="I143" s="23">
        <v>0.09</v>
      </c>
      <c r="J143" s="22">
        <v>0.11</v>
      </c>
      <c r="K143" s="22">
        <v>1.08</v>
      </c>
      <c r="L143" s="22">
        <v>1.24</v>
      </c>
      <c r="M143" s="22">
        <v>0.23</v>
      </c>
    </row>
    <row r="144" spans="1:13" ht="15.6" x14ac:dyDescent="0.3">
      <c r="A144" s="9">
        <v>225</v>
      </c>
      <c r="B144" s="18">
        <v>13</v>
      </c>
      <c r="C144" s="21" t="s">
        <v>350</v>
      </c>
      <c r="D144" s="22">
        <v>1600</v>
      </c>
      <c r="E144" s="22">
        <v>0.84</v>
      </c>
      <c r="F144" s="22">
        <v>0.35</v>
      </c>
      <c r="G144" s="22">
        <v>1</v>
      </c>
      <c r="H144" s="22">
        <v>2</v>
      </c>
      <c r="I144" s="23">
        <v>0.47</v>
      </c>
      <c r="J144" s="22">
        <v>0.57999999999999996</v>
      </c>
      <c r="K144" s="22">
        <v>6.95</v>
      </c>
      <c r="L144" s="22">
        <v>7.91</v>
      </c>
      <c r="M144" s="22">
        <v>0.17</v>
      </c>
    </row>
    <row r="145" spans="1:13" ht="15.6" x14ac:dyDescent="0.3">
      <c r="A145" s="9">
        <v>226</v>
      </c>
      <c r="B145" s="18">
        <v>14</v>
      </c>
      <c r="C145" s="21" t="s">
        <v>241</v>
      </c>
      <c r="D145" s="22"/>
      <c r="E145" s="22"/>
      <c r="F145" s="22"/>
      <c r="G145" s="22"/>
      <c r="H145" s="22"/>
      <c r="I145" s="23">
        <v>1</v>
      </c>
      <c r="J145" s="22">
        <v>1</v>
      </c>
      <c r="K145" s="22"/>
      <c r="L145" s="22"/>
      <c r="M145" s="22">
        <v>1</v>
      </c>
    </row>
    <row r="146" spans="1:13" ht="15.6" x14ac:dyDescent="0.3">
      <c r="A146" s="9">
        <v>265</v>
      </c>
      <c r="C146" s="54" t="s">
        <v>208</v>
      </c>
      <c r="D146" s="10"/>
      <c r="E146" s="10"/>
      <c r="F146" s="10"/>
      <c r="G146" s="10"/>
      <c r="H146" s="10"/>
      <c r="I146" s="53"/>
      <c r="J146" s="10"/>
      <c r="K146" s="10"/>
      <c r="L146" s="10"/>
      <c r="M146" s="10"/>
    </row>
    <row r="147" spans="1:13" ht="15.6" x14ac:dyDescent="0.3">
      <c r="A147" s="9">
        <v>266</v>
      </c>
      <c r="B147" s="18">
        <v>1</v>
      </c>
      <c r="C147" s="21" t="s">
        <v>351</v>
      </c>
      <c r="D147" s="22">
        <v>600</v>
      </c>
      <c r="E147" s="22">
        <v>0.84</v>
      </c>
      <c r="F147" s="22">
        <v>0.14000000000000001</v>
      </c>
      <c r="G147" s="22">
        <v>10</v>
      </c>
      <c r="H147" s="22">
        <v>15</v>
      </c>
      <c r="I147" s="23">
        <v>0.19</v>
      </c>
      <c r="J147" s="22">
        <v>0.23</v>
      </c>
      <c r="K147" s="22">
        <v>3.24</v>
      </c>
      <c r="L147" s="22">
        <v>3.84</v>
      </c>
      <c r="M147" s="22">
        <v>0.17</v>
      </c>
    </row>
    <row r="148" spans="1:13" ht="15.6" x14ac:dyDescent="0.3">
      <c r="A148" s="9">
        <v>267</v>
      </c>
      <c r="B148" s="18">
        <v>2</v>
      </c>
      <c r="C148" s="21" t="s">
        <v>352</v>
      </c>
      <c r="D148" s="22">
        <v>800</v>
      </c>
      <c r="E148" s="22">
        <v>0.84</v>
      </c>
      <c r="F148" s="22">
        <v>0.16</v>
      </c>
      <c r="G148" s="22">
        <v>7</v>
      </c>
      <c r="H148" s="22">
        <v>12</v>
      </c>
      <c r="I148" s="23">
        <v>0.21</v>
      </c>
      <c r="J148" s="22">
        <v>0.26</v>
      </c>
      <c r="K148" s="22">
        <v>3.73</v>
      </c>
      <c r="L148" s="22">
        <v>4.51</v>
      </c>
      <c r="M148" s="22">
        <v>0.16</v>
      </c>
    </row>
    <row r="149" spans="1:13" ht="15.6" x14ac:dyDescent="0.3">
      <c r="A149" s="9">
        <v>268</v>
      </c>
      <c r="B149" s="18">
        <v>3</v>
      </c>
      <c r="C149" s="21" t="s">
        <v>353</v>
      </c>
      <c r="D149" s="22">
        <v>1000</v>
      </c>
      <c r="E149" s="22">
        <v>0.84</v>
      </c>
      <c r="F149" s="22">
        <v>0.21</v>
      </c>
      <c r="G149" s="22">
        <v>7</v>
      </c>
      <c r="H149" s="22">
        <v>12</v>
      </c>
      <c r="I149" s="23">
        <v>0.26</v>
      </c>
      <c r="J149" s="22">
        <v>0.3</v>
      </c>
      <c r="K149" s="22">
        <v>4.6399999999999997</v>
      </c>
      <c r="L149" s="22">
        <v>5.42</v>
      </c>
      <c r="M149" s="22">
        <v>0.15</v>
      </c>
    </row>
    <row r="150" spans="1:13" ht="15.6" x14ac:dyDescent="0.3">
      <c r="A150" s="9">
        <v>269</v>
      </c>
      <c r="B150" s="18">
        <v>4</v>
      </c>
      <c r="C150" s="21" t="s">
        <v>354</v>
      </c>
      <c r="D150" s="22">
        <v>400</v>
      </c>
      <c r="E150" s="22">
        <v>0.84</v>
      </c>
      <c r="F150" s="22">
        <v>0.09</v>
      </c>
      <c r="G150" s="22">
        <v>6</v>
      </c>
      <c r="H150" s="22">
        <v>10</v>
      </c>
      <c r="I150" s="23">
        <v>0.13</v>
      </c>
      <c r="J150" s="22">
        <v>0.15</v>
      </c>
      <c r="K150" s="22">
        <v>2.0299999999999998</v>
      </c>
      <c r="L150" s="22">
        <v>2.35</v>
      </c>
      <c r="M150" s="22">
        <v>0.53</v>
      </c>
    </row>
    <row r="151" spans="1:13" ht="15.6" x14ac:dyDescent="0.3">
      <c r="A151" s="9">
        <v>270</v>
      </c>
      <c r="B151" s="18">
        <v>5</v>
      </c>
      <c r="C151" s="21" t="s">
        <v>355</v>
      </c>
      <c r="D151" s="22">
        <v>500</v>
      </c>
      <c r="E151" s="22">
        <v>0.84</v>
      </c>
      <c r="F151" s="22">
        <v>0.12</v>
      </c>
      <c r="G151" s="22">
        <v>6</v>
      </c>
      <c r="H151" s="22">
        <v>10</v>
      </c>
      <c r="I151" s="23">
        <v>0.15</v>
      </c>
      <c r="J151" s="22">
        <v>0.19</v>
      </c>
      <c r="K151" s="22">
        <v>2.44</v>
      </c>
      <c r="L151" s="22">
        <v>2.95</v>
      </c>
      <c r="M151" s="22">
        <v>0.43</v>
      </c>
    </row>
    <row r="152" spans="1:13" ht="15.6" x14ac:dyDescent="0.3">
      <c r="A152" s="9">
        <v>271</v>
      </c>
      <c r="B152" s="18">
        <v>6</v>
      </c>
      <c r="C152" s="21" t="s">
        <v>356</v>
      </c>
      <c r="D152" s="22">
        <v>200</v>
      </c>
      <c r="E152" s="22">
        <v>0.84</v>
      </c>
      <c r="F152" s="22">
        <v>6.3E-2</v>
      </c>
      <c r="G152" s="22">
        <v>4</v>
      </c>
      <c r="H152" s="22">
        <v>8</v>
      </c>
      <c r="I152" s="23">
        <v>7.1999999999999995E-2</v>
      </c>
      <c r="J152" s="22">
        <v>0.08</v>
      </c>
      <c r="K152" s="22">
        <v>1.03</v>
      </c>
      <c r="L152" s="22">
        <v>1.17</v>
      </c>
      <c r="M152" s="22">
        <v>0.35</v>
      </c>
    </row>
    <row r="153" spans="1:13" ht="15.6" x14ac:dyDescent="0.3">
      <c r="A153" s="9">
        <v>272</v>
      </c>
      <c r="B153" s="18">
        <v>7</v>
      </c>
      <c r="C153" s="21" t="s">
        <v>357</v>
      </c>
      <c r="D153" s="22">
        <v>300</v>
      </c>
      <c r="E153" s="22">
        <v>0.84</v>
      </c>
      <c r="F153" s="22">
        <v>7.2999999999999995E-2</v>
      </c>
      <c r="G153" s="22">
        <v>4</v>
      </c>
      <c r="H153" s="22">
        <v>8</v>
      </c>
      <c r="I153" s="23">
        <v>8.2000000000000003E-2</v>
      </c>
      <c r="J153" s="22">
        <v>0.09</v>
      </c>
      <c r="K153" s="22">
        <v>1.34</v>
      </c>
      <c r="L153" s="22">
        <v>1.52</v>
      </c>
      <c r="M153" s="22">
        <v>0.28999999999999998</v>
      </c>
    </row>
    <row r="154" spans="1:13" ht="15.6" x14ac:dyDescent="0.3">
      <c r="A154" s="9">
        <v>273</v>
      </c>
      <c r="B154" s="18">
        <v>8</v>
      </c>
      <c r="C154" s="21" t="s">
        <v>358</v>
      </c>
      <c r="D154" s="22">
        <v>1200</v>
      </c>
      <c r="E154" s="22">
        <v>0.84</v>
      </c>
      <c r="F154" s="22">
        <v>0.35</v>
      </c>
      <c r="G154" s="22">
        <v>2</v>
      </c>
      <c r="H154" s="22">
        <v>4</v>
      </c>
      <c r="I154" s="23">
        <v>0.47</v>
      </c>
      <c r="J154" s="22">
        <v>0.57999999999999996</v>
      </c>
      <c r="K154" s="22">
        <v>6.16</v>
      </c>
      <c r="L154" s="22">
        <v>7.15</v>
      </c>
      <c r="M154" s="22">
        <v>0.14000000000000001</v>
      </c>
    </row>
    <row r="155" spans="1:13" ht="15.6" x14ac:dyDescent="0.3">
      <c r="A155" s="9">
        <v>274</v>
      </c>
      <c r="B155" s="18">
        <v>9</v>
      </c>
      <c r="C155" s="21" t="s">
        <v>359</v>
      </c>
      <c r="D155" s="22">
        <v>1400</v>
      </c>
      <c r="E155" s="22">
        <v>0.84</v>
      </c>
      <c r="F155" s="22">
        <v>0.41</v>
      </c>
      <c r="G155" s="22">
        <v>2</v>
      </c>
      <c r="H155" s="22">
        <v>4</v>
      </c>
      <c r="I155" s="23">
        <v>0.52</v>
      </c>
      <c r="J155" s="22">
        <v>0.64</v>
      </c>
      <c r="K155" s="22">
        <v>7</v>
      </c>
      <c r="L155" s="22">
        <v>8.11</v>
      </c>
      <c r="M155" s="22">
        <v>0.11</v>
      </c>
    </row>
    <row r="156" spans="1:13" ht="15.6" x14ac:dyDescent="0.3">
      <c r="A156" s="9">
        <v>275</v>
      </c>
      <c r="B156" s="18">
        <v>10</v>
      </c>
      <c r="C156" s="21" t="s">
        <v>360</v>
      </c>
      <c r="D156" s="22">
        <v>600</v>
      </c>
      <c r="E156" s="22">
        <v>0.84</v>
      </c>
      <c r="F156" s="22">
        <v>0.1</v>
      </c>
      <c r="G156" s="22">
        <v>4</v>
      </c>
      <c r="H156" s="22">
        <v>10</v>
      </c>
      <c r="I156" s="23">
        <v>0.12</v>
      </c>
      <c r="J156" s="22">
        <v>0.17</v>
      </c>
      <c r="K156" s="22">
        <v>2.33</v>
      </c>
      <c r="L156" s="22">
        <v>3.06</v>
      </c>
      <c r="M156" s="22">
        <v>7.0000000000000007E-2</v>
      </c>
    </row>
    <row r="157" spans="1:13" ht="15.6" x14ac:dyDescent="0.3">
      <c r="A157" s="9">
        <v>276</v>
      </c>
      <c r="B157" s="18">
        <v>11</v>
      </c>
      <c r="C157" s="21" t="s">
        <v>241</v>
      </c>
      <c r="D157" s="22"/>
      <c r="E157" s="22"/>
      <c r="F157" s="22"/>
      <c r="G157" s="22"/>
      <c r="H157" s="22"/>
      <c r="I157" s="23">
        <v>1</v>
      </c>
      <c r="J157" s="22">
        <v>1</v>
      </c>
      <c r="K157" s="22"/>
      <c r="L157" s="22"/>
      <c r="M157" s="22">
        <v>1</v>
      </c>
    </row>
    <row r="158" spans="1:13" ht="15.6" x14ac:dyDescent="0.3">
      <c r="A158" s="9">
        <v>318</v>
      </c>
      <c r="C158" s="54" t="s">
        <v>200</v>
      </c>
      <c r="D158" s="10"/>
      <c r="E158" s="10"/>
      <c r="F158" s="10"/>
      <c r="G158" s="10"/>
      <c r="H158" s="10"/>
      <c r="I158" s="53"/>
      <c r="J158" s="10"/>
      <c r="K158" s="10"/>
      <c r="L158" s="10"/>
      <c r="M158" s="10"/>
    </row>
    <row r="159" spans="1:13" ht="15.6" x14ac:dyDescent="0.3">
      <c r="A159" s="9">
        <v>319</v>
      </c>
      <c r="B159" s="18">
        <v>1</v>
      </c>
      <c r="C159" s="21" t="s">
        <v>361</v>
      </c>
      <c r="D159" s="22">
        <v>500</v>
      </c>
      <c r="E159" s="22">
        <v>0.84</v>
      </c>
      <c r="F159" s="22">
        <v>0.12</v>
      </c>
      <c r="G159" s="22">
        <v>4</v>
      </c>
      <c r="H159" s="22">
        <v>6</v>
      </c>
      <c r="I159" s="23">
        <v>0.15</v>
      </c>
      <c r="J159" s="22">
        <v>0.16</v>
      </c>
      <c r="K159" s="22">
        <v>2.38</v>
      </c>
      <c r="L159" s="22">
        <v>2.48</v>
      </c>
      <c r="M159" s="22">
        <v>0.2</v>
      </c>
    </row>
    <row r="160" spans="1:13" ht="15.6" x14ac:dyDescent="0.3">
      <c r="A160" s="9">
        <v>320</v>
      </c>
      <c r="B160" s="18">
        <v>2</v>
      </c>
      <c r="C160" s="21" t="s">
        <v>362</v>
      </c>
      <c r="D160" s="22">
        <v>600</v>
      </c>
      <c r="E160" s="22">
        <v>0.84</v>
      </c>
      <c r="F160" s="22">
        <v>0.13</v>
      </c>
      <c r="G160" s="22">
        <v>4</v>
      </c>
      <c r="H160" s="22">
        <v>6</v>
      </c>
      <c r="I160" s="23">
        <v>0.16</v>
      </c>
      <c r="J160" s="22">
        <v>0.18</v>
      </c>
      <c r="K160" s="22">
        <v>2.65</v>
      </c>
      <c r="L160" s="22">
        <v>2.9</v>
      </c>
      <c r="M160" s="22">
        <v>0.17</v>
      </c>
    </row>
    <row r="161" spans="1:13" ht="15.6" x14ac:dyDescent="0.3">
      <c r="A161" s="9">
        <v>321</v>
      </c>
      <c r="B161" s="18">
        <v>3</v>
      </c>
      <c r="C161" s="21" t="s">
        <v>363</v>
      </c>
      <c r="D161" s="22">
        <v>700</v>
      </c>
      <c r="E161" s="22">
        <v>0.84</v>
      </c>
      <c r="F161" s="22">
        <v>0.18</v>
      </c>
      <c r="G161" s="22">
        <v>6</v>
      </c>
      <c r="H161" s="22">
        <v>8</v>
      </c>
      <c r="I161" s="23">
        <v>0.24</v>
      </c>
      <c r="J161" s="22">
        <v>0.27</v>
      </c>
      <c r="K161" s="22">
        <v>3.66</v>
      </c>
      <c r="L161" s="22">
        <v>3.98</v>
      </c>
      <c r="M161" s="22">
        <v>0.16</v>
      </c>
    </row>
    <row r="162" spans="1:13" ht="15.6" x14ac:dyDescent="0.3">
      <c r="A162" s="9">
        <v>322</v>
      </c>
      <c r="B162" s="18">
        <v>4</v>
      </c>
      <c r="C162" s="21" t="s">
        <v>364</v>
      </c>
      <c r="D162" s="22">
        <v>800</v>
      </c>
      <c r="E162" s="22">
        <v>0.84</v>
      </c>
      <c r="F162" s="22">
        <v>0.21</v>
      </c>
      <c r="G162" s="22">
        <v>6</v>
      </c>
      <c r="H162" s="22">
        <v>8</v>
      </c>
      <c r="I162" s="23">
        <v>0.27</v>
      </c>
      <c r="J162" s="22">
        <v>0.3</v>
      </c>
      <c r="K162" s="22">
        <v>4.16</v>
      </c>
      <c r="L162" s="22">
        <v>4.51</v>
      </c>
      <c r="M162" s="22">
        <v>0.14000000000000001</v>
      </c>
    </row>
    <row r="163" spans="1:13" ht="15.6" x14ac:dyDescent="0.3">
      <c r="A163" s="9">
        <v>323</v>
      </c>
      <c r="B163" s="18">
        <v>5</v>
      </c>
      <c r="C163" s="21" t="s">
        <v>365</v>
      </c>
      <c r="D163" s="22">
        <v>900</v>
      </c>
      <c r="E163" s="22">
        <v>0.84</v>
      </c>
      <c r="F163" s="22">
        <v>0.24</v>
      </c>
      <c r="G163" s="22">
        <v>6</v>
      </c>
      <c r="H163" s="22">
        <v>8</v>
      </c>
      <c r="I163" s="23">
        <v>0.33</v>
      </c>
      <c r="J163" s="22">
        <v>0.36</v>
      </c>
      <c r="K163" s="22">
        <v>4.82</v>
      </c>
      <c r="L163" s="22">
        <v>5.23</v>
      </c>
      <c r="M163" s="22">
        <v>0.12</v>
      </c>
    </row>
    <row r="164" spans="1:13" ht="15.6" x14ac:dyDescent="0.3">
      <c r="A164" s="9">
        <v>324</v>
      </c>
      <c r="B164" s="18">
        <v>6</v>
      </c>
      <c r="C164" s="21" t="s">
        <v>366</v>
      </c>
      <c r="D164" s="22">
        <v>1000</v>
      </c>
      <c r="E164" s="22">
        <v>0.84</v>
      </c>
      <c r="F164" s="22">
        <v>0.28999999999999998</v>
      </c>
      <c r="G164" s="22">
        <v>8</v>
      </c>
      <c r="H164" s="22">
        <v>12</v>
      </c>
      <c r="I164" s="23">
        <v>0.38</v>
      </c>
      <c r="J164" s="22">
        <v>0.44</v>
      </c>
      <c r="K164" s="22">
        <v>5.72</v>
      </c>
      <c r="L164" s="22">
        <v>6.59</v>
      </c>
      <c r="M164" s="22">
        <v>0.11</v>
      </c>
    </row>
    <row r="165" spans="1:13" ht="15.6" x14ac:dyDescent="0.3">
      <c r="A165" s="9">
        <v>325</v>
      </c>
      <c r="B165" s="18">
        <v>7</v>
      </c>
      <c r="C165" s="21" t="s">
        <v>367</v>
      </c>
      <c r="D165" s="22">
        <v>1100</v>
      </c>
      <c r="E165" s="22">
        <v>0.84</v>
      </c>
      <c r="F165" s="22">
        <v>0.34</v>
      </c>
      <c r="G165" s="22">
        <v>10</v>
      </c>
      <c r="H165" s="22">
        <v>15</v>
      </c>
      <c r="I165" s="23">
        <v>0.45</v>
      </c>
      <c r="J165" s="22">
        <v>0.51</v>
      </c>
      <c r="K165" s="22">
        <v>6.74</v>
      </c>
      <c r="L165" s="22">
        <v>7.74</v>
      </c>
      <c r="M165" s="22">
        <v>0.1</v>
      </c>
    </row>
    <row r="166" spans="1:13" ht="15.6" x14ac:dyDescent="0.3">
      <c r="A166" s="9">
        <v>326</v>
      </c>
      <c r="B166" s="18">
        <v>8</v>
      </c>
      <c r="C166" s="21" t="s">
        <v>368</v>
      </c>
      <c r="D166" s="22">
        <v>1200</v>
      </c>
      <c r="E166" s="22">
        <v>0.84</v>
      </c>
      <c r="F166" s="22">
        <v>0.38</v>
      </c>
      <c r="G166" s="22">
        <v>10</v>
      </c>
      <c r="H166" s="22">
        <v>15</v>
      </c>
      <c r="I166" s="23">
        <v>0.49</v>
      </c>
      <c r="J166" s="22">
        <v>0.55000000000000004</v>
      </c>
      <c r="K166" s="22">
        <v>7.37</v>
      </c>
      <c r="L166" s="22">
        <v>8.48</v>
      </c>
      <c r="M166" s="22">
        <v>0.09</v>
      </c>
    </row>
    <row r="167" spans="1:13" ht="15.6" x14ac:dyDescent="0.3">
      <c r="A167" s="9">
        <v>327</v>
      </c>
      <c r="B167" s="18">
        <v>9</v>
      </c>
      <c r="C167" s="21" t="s">
        <v>369</v>
      </c>
      <c r="D167" s="22">
        <v>1000</v>
      </c>
      <c r="E167" s="22">
        <v>0.84</v>
      </c>
      <c r="F167" s="22">
        <v>0.23</v>
      </c>
      <c r="G167" s="22">
        <v>15</v>
      </c>
      <c r="H167" s="22">
        <v>22</v>
      </c>
      <c r="I167" s="23">
        <v>0.44</v>
      </c>
      <c r="J167" s="22">
        <v>0.5</v>
      </c>
      <c r="K167" s="22">
        <v>6.86</v>
      </c>
      <c r="L167" s="22">
        <v>8.01</v>
      </c>
      <c r="M167" s="22">
        <v>9.8000000000000004E-2</v>
      </c>
    </row>
    <row r="168" spans="1:13" ht="15.6" x14ac:dyDescent="0.3">
      <c r="A168" s="9">
        <v>328</v>
      </c>
      <c r="B168" s="18">
        <v>10</v>
      </c>
      <c r="C168" s="21" t="s">
        <v>370</v>
      </c>
      <c r="D168" s="22">
        <v>1200</v>
      </c>
      <c r="E168" s="22">
        <v>0.84</v>
      </c>
      <c r="F168" s="22">
        <v>0.28999999999999998</v>
      </c>
      <c r="G168" s="22">
        <v>15</v>
      </c>
      <c r="H168" s="22">
        <v>22</v>
      </c>
      <c r="I168" s="23">
        <v>0.52</v>
      </c>
      <c r="J168" s="22">
        <v>0.57999999999999996</v>
      </c>
      <c r="K168" s="22">
        <v>8.17</v>
      </c>
      <c r="L168" s="22">
        <v>9.4600000000000009</v>
      </c>
      <c r="M168" s="22">
        <v>7.4999999999999997E-2</v>
      </c>
    </row>
    <row r="169" spans="1:13" ht="15.6" x14ac:dyDescent="0.3">
      <c r="A169" s="9">
        <v>329</v>
      </c>
      <c r="B169" s="18">
        <v>11</v>
      </c>
      <c r="C169" s="21" t="s">
        <v>241</v>
      </c>
      <c r="D169" s="22"/>
      <c r="E169" s="22"/>
      <c r="F169" s="22"/>
      <c r="G169" s="22"/>
      <c r="H169" s="22"/>
      <c r="I169" s="23">
        <v>1</v>
      </c>
      <c r="J169" s="22">
        <v>1</v>
      </c>
      <c r="K169" s="22"/>
      <c r="L169" s="22"/>
      <c r="M169" s="22">
        <v>1</v>
      </c>
    </row>
    <row r="170" spans="1:13" ht="15.6" x14ac:dyDescent="0.3">
      <c r="A170" s="9">
        <v>371</v>
      </c>
      <c r="C170" s="54" t="s">
        <v>201</v>
      </c>
      <c r="D170" s="10"/>
      <c r="E170" s="10"/>
      <c r="F170" s="10"/>
      <c r="G170" s="10"/>
      <c r="H170" s="10"/>
      <c r="I170" s="53"/>
      <c r="J170" s="10"/>
      <c r="K170" s="10"/>
      <c r="L170" s="10"/>
      <c r="M170" s="10"/>
    </row>
    <row r="171" spans="1:13" ht="15.6" x14ac:dyDescent="0.3">
      <c r="A171" s="9">
        <v>372</v>
      </c>
      <c r="B171" s="18">
        <v>1</v>
      </c>
      <c r="C171" s="21" t="s">
        <v>371</v>
      </c>
      <c r="D171" s="22">
        <v>500</v>
      </c>
      <c r="E171" s="22">
        <v>0.84</v>
      </c>
      <c r="F171" s="22">
        <v>0.14000000000000001</v>
      </c>
      <c r="G171" s="22">
        <v>5</v>
      </c>
      <c r="H171" s="22">
        <v>10</v>
      </c>
      <c r="I171" s="23">
        <v>0.17</v>
      </c>
      <c r="J171" s="22">
        <v>0.23</v>
      </c>
      <c r="K171" s="22">
        <v>2.5499999999999998</v>
      </c>
      <c r="L171" s="22">
        <v>3.25</v>
      </c>
      <c r="M171" s="22">
        <v>0.3</v>
      </c>
    </row>
    <row r="172" spans="1:13" ht="15.6" x14ac:dyDescent="0.3">
      <c r="A172" s="9">
        <v>373</v>
      </c>
      <c r="B172" s="18">
        <v>2</v>
      </c>
      <c r="C172" s="21" t="s">
        <v>372</v>
      </c>
      <c r="D172" s="22">
        <v>600</v>
      </c>
      <c r="E172" s="22">
        <v>0.84</v>
      </c>
      <c r="F172" s="22">
        <v>0.16</v>
      </c>
      <c r="G172" s="22">
        <v>5</v>
      </c>
      <c r="H172" s="22">
        <v>10</v>
      </c>
      <c r="I172" s="23">
        <v>0.2</v>
      </c>
      <c r="J172" s="22">
        <v>0.26</v>
      </c>
      <c r="K172" s="22">
        <v>3.03</v>
      </c>
      <c r="L172" s="22">
        <v>3.78</v>
      </c>
      <c r="M172" s="22">
        <v>0.26</v>
      </c>
    </row>
    <row r="173" spans="1:13" ht="15.6" x14ac:dyDescent="0.3">
      <c r="A173" s="9">
        <v>374</v>
      </c>
      <c r="B173" s="18">
        <v>3</v>
      </c>
      <c r="C173" s="21" t="s">
        <v>373</v>
      </c>
      <c r="D173" s="22">
        <v>800</v>
      </c>
      <c r="E173" s="22">
        <v>0.84</v>
      </c>
      <c r="F173" s="22">
        <v>0.21</v>
      </c>
      <c r="G173" s="22">
        <v>5</v>
      </c>
      <c r="H173" s="22">
        <v>10</v>
      </c>
      <c r="I173" s="23">
        <v>0.24</v>
      </c>
      <c r="J173" s="22">
        <v>0.31</v>
      </c>
      <c r="K173" s="22">
        <v>3.83</v>
      </c>
      <c r="L173" s="22">
        <v>4.7699999999999996</v>
      </c>
      <c r="M173" s="22">
        <v>0.19</v>
      </c>
    </row>
    <row r="174" spans="1:13" ht="15.6" x14ac:dyDescent="0.3">
      <c r="A174" s="9">
        <v>375</v>
      </c>
      <c r="B174" s="18">
        <v>4</v>
      </c>
      <c r="C174" s="21" t="s">
        <v>374</v>
      </c>
      <c r="D174" s="22">
        <v>1000</v>
      </c>
      <c r="E174" s="22">
        <v>0.84</v>
      </c>
      <c r="F174" s="22">
        <v>0.27</v>
      </c>
      <c r="G174" s="22">
        <v>5</v>
      </c>
      <c r="H174" s="22">
        <v>10</v>
      </c>
      <c r="I174" s="23">
        <v>0.33</v>
      </c>
      <c r="J174" s="22">
        <v>0.41</v>
      </c>
      <c r="K174" s="22">
        <v>5.03</v>
      </c>
      <c r="L174" s="22">
        <v>6.13</v>
      </c>
      <c r="M174" s="22">
        <v>0.14000000000000001</v>
      </c>
    </row>
    <row r="175" spans="1:13" ht="15.6" x14ac:dyDescent="0.3">
      <c r="A175" s="9">
        <v>376</v>
      </c>
      <c r="B175" s="18">
        <v>5</v>
      </c>
      <c r="C175" s="21" t="s">
        <v>375</v>
      </c>
      <c r="D175" s="22">
        <v>1200</v>
      </c>
      <c r="E175" s="22">
        <v>0.84</v>
      </c>
      <c r="F175" s="22">
        <v>0.36</v>
      </c>
      <c r="G175" s="22">
        <v>5</v>
      </c>
      <c r="H175" s="22">
        <v>10</v>
      </c>
      <c r="I175" s="23">
        <v>0.44</v>
      </c>
      <c r="J175" s="22">
        <v>0.52</v>
      </c>
      <c r="K175" s="22">
        <v>6.36</v>
      </c>
      <c r="L175" s="22">
        <v>7.57</v>
      </c>
      <c r="M175" s="22">
        <v>0.11</v>
      </c>
    </row>
    <row r="176" spans="1:13" ht="15.6" x14ac:dyDescent="0.3">
      <c r="A176" s="9">
        <v>377</v>
      </c>
      <c r="B176" s="18">
        <v>6</v>
      </c>
      <c r="C176" s="21" t="s">
        <v>376</v>
      </c>
      <c r="D176" s="22">
        <v>1400</v>
      </c>
      <c r="E176" s="22">
        <v>0.84</v>
      </c>
      <c r="F176" s="22">
        <v>0.47</v>
      </c>
      <c r="G176" s="22">
        <v>5</v>
      </c>
      <c r="H176" s="22">
        <v>10</v>
      </c>
      <c r="I176" s="23">
        <v>0.56000000000000005</v>
      </c>
      <c r="J176" s="22">
        <v>0.65</v>
      </c>
      <c r="K176" s="22">
        <v>7.75</v>
      </c>
      <c r="L176" s="22">
        <v>9.14</v>
      </c>
      <c r="M176" s="22">
        <v>9.8000000000000004E-2</v>
      </c>
    </row>
    <row r="177" spans="1:13" ht="15.6" x14ac:dyDescent="0.3">
      <c r="A177" s="9">
        <v>378</v>
      </c>
      <c r="B177" s="18">
        <v>7</v>
      </c>
      <c r="C177" s="21" t="s">
        <v>377</v>
      </c>
      <c r="D177" s="22">
        <v>1600</v>
      </c>
      <c r="E177" s="22">
        <v>0.84</v>
      </c>
      <c r="F177" s="22">
        <v>0.57999999999999996</v>
      </c>
      <c r="G177" s="22">
        <v>5</v>
      </c>
      <c r="H177" s="22">
        <v>10</v>
      </c>
      <c r="I177" s="23">
        <v>0.67</v>
      </c>
      <c r="J177" s="22">
        <v>0.79</v>
      </c>
      <c r="K177" s="22">
        <v>9.06</v>
      </c>
      <c r="L177" s="22">
        <v>10.77</v>
      </c>
      <c r="M177" s="22">
        <v>0.09</v>
      </c>
    </row>
    <row r="178" spans="1:13" ht="15.6" x14ac:dyDescent="0.3">
      <c r="A178" s="9">
        <v>379</v>
      </c>
      <c r="B178" s="18">
        <v>8</v>
      </c>
      <c r="C178" s="21" t="s">
        <v>378</v>
      </c>
      <c r="D178" s="22">
        <v>1800</v>
      </c>
      <c r="E178" s="22">
        <v>0.84</v>
      </c>
      <c r="F178" s="22">
        <v>0.66</v>
      </c>
      <c r="G178" s="22">
        <v>5</v>
      </c>
      <c r="H178" s="22">
        <v>10</v>
      </c>
      <c r="I178" s="23">
        <v>0.8</v>
      </c>
      <c r="J178" s="22">
        <v>0.92</v>
      </c>
      <c r="K178" s="22">
        <v>10.5</v>
      </c>
      <c r="L178" s="22">
        <v>12.33</v>
      </c>
      <c r="M178" s="22">
        <v>0.09</v>
      </c>
    </row>
    <row r="179" spans="1:13" ht="15.6" x14ac:dyDescent="0.3">
      <c r="A179" s="9">
        <v>380</v>
      </c>
      <c r="B179" s="18">
        <v>9</v>
      </c>
      <c r="C179" s="21" t="s">
        <v>379</v>
      </c>
      <c r="D179" s="22">
        <v>800</v>
      </c>
      <c r="E179" s="22">
        <v>0.84</v>
      </c>
      <c r="F179" s="22">
        <v>0.23</v>
      </c>
      <c r="G179" s="22">
        <v>4</v>
      </c>
      <c r="H179" s="22">
        <v>8</v>
      </c>
      <c r="I179" s="23">
        <v>0.28999999999999998</v>
      </c>
      <c r="J179" s="22">
        <v>0.35</v>
      </c>
      <c r="K179" s="22">
        <v>4.13</v>
      </c>
      <c r="L179" s="22">
        <v>4.9000000000000004</v>
      </c>
      <c r="M179" s="22">
        <v>7.4999999999999997E-2</v>
      </c>
    </row>
    <row r="180" spans="1:13" ht="15.6" x14ac:dyDescent="0.3">
      <c r="A180" s="9">
        <v>381</v>
      </c>
      <c r="B180" s="18">
        <v>10</v>
      </c>
      <c r="C180" s="21" t="s">
        <v>380</v>
      </c>
      <c r="D180" s="22">
        <v>1000</v>
      </c>
      <c r="E180" s="22">
        <v>0.84</v>
      </c>
      <c r="F180" s="22">
        <v>0.33</v>
      </c>
      <c r="G180" s="22">
        <v>4</v>
      </c>
      <c r="H180" s="22">
        <v>8</v>
      </c>
      <c r="I180" s="23">
        <v>0.41</v>
      </c>
      <c r="J180" s="22">
        <v>0.47</v>
      </c>
      <c r="K180" s="22">
        <v>5.49</v>
      </c>
      <c r="L180" s="22">
        <v>6.35</v>
      </c>
      <c r="M180" s="22">
        <v>7.4999999999999997E-2</v>
      </c>
    </row>
    <row r="181" spans="1:13" ht="15.6" x14ac:dyDescent="0.3">
      <c r="A181" s="9">
        <v>382</v>
      </c>
      <c r="B181" s="18">
        <v>11</v>
      </c>
      <c r="C181" s="21" t="s">
        <v>381</v>
      </c>
      <c r="D181" s="22">
        <v>1200</v>
      </c>
      <c r="E181" s="22">
        <v>0.84</v>
      </c>
      <c r="F181" s="22">
        <v>0.41</v>
      </c>
      <c r="G181" s="22">
        <v>4</v>
      </c>
      <c r="H181" s="22">
        <v>8</v>
      </c>
      <c r="I181" s="23">
        <v>0.52</v>
      </c>
      <c r="J181" s="22">
        <v>0.57999999999999996</v>
      </c>
      <c r="K181" s="22">
        <v>6.77</v>
      </c>
      <c r="L181" s="22">
        <v>7.72</v>
      </c>
      <c r="M181" s="22">
        <v>7.4999999999999997E-2</v>
      </c>
    </row>
    <row r="182" spans="1:13" ht="15.6" x14ac:dyDescent="0.3">
      <c r="A182" s="9">
        <v>383</v>
      </c>
      <c r="B182" s="18">
        <v>12</v>
      </c>
      <c r="C182" s="21" t="s">
        <v>382</v>
      </c>
      <c r="D182" s="22">
        <v>800</v>
      </c>
      <c r="E182" s="22">
        <v>0.84</v>
      </c>
      <c r="F182" s="22">
        <v>0.22</v>
      </c>
      <c r="G182" s="22">
        <v>9</v>
      </c>
      <c r="H182" s="22">
        <v>13</v>
      </c>
      <c r="I182" s="23">
        <v>0.28999999999999998</v>
      </c>
      <c r="J182" s="22">
        <v>0.35</v>
      </c>
      <c r="K182" s="22">
        <v>4.54</v>
      </c>
      <c r="L182" s="22">
        <v>5.32</v>
      </c>
      <c r="M182" s="22">
        <v>0.17</v>
      </c>
    </row>
    <row r="183" spans="1:13" ht="15.6" x14ac:dyDescent="0.3">
      <c r="A183" s="9">
        <v>384</v>
      </c>
      <c r="B183" s="18">
        <v>13</v>
      </c>
      <c r="C183" s="21" t="s">
        <v>383</v>
      </c>
      <c r="D183" s="22">
        <v>1000</v>
      </c>
      <c r="E183" s="22">
        <v>0.84</v>
      </c>
      <c r="F183" s="22">
        <v>0.28000000000000003</v>
      </c>
      <c r="G183" s="22">
        <v>9</v>
      </c>
      <c r="H183" s="22">
        <v>13</v>
      </c>
      <c r="I183" s="23">
        <v>0.35</v>
      </c>
      <c r="J183" s="22">
        <v>0.41</v>
      </c>
      <c r="K183" s="22">
        <v>5.57</v>
      </c>
      <c r="L183" s="22">
        <v>6.43</v>
      </c>
      <c r="M183" s="22">
        <v>0.15</v>
      </c>
    </row>
    <row r="184" spans="1:13" ht="15.6" x14ac:dyDescent="0.3">
      <c r="A184" s="9">
        <v>385</v>
      </c>
      <c r="B184" s="18">
        <v>14</v>
      </c>
      <c r="C184" s="21" t="s">
        <v>384</v>
      </c>
      <c r="D184" s="22">
        <v>1000</v>
      </c>
      <c r="E184" s="22">
        <v>0.84</v>
      </c>
      <c r="F184" s="22">
        <v>0.25</v>
      </c>
      <c r="G184" s="22">
        <v>4</v>
      </c>
      <c r="H184" s="22">
        <v>8</v>
      </c>
      <c r="I184" s="23">
        <v>0.33</v>
      </c>
      <c r="J184" s="22">
        <v>0.41</v>
      </c>
      <c r="K184" s="22">
        <v>5.0599999999999996</v>
      </c>
      <c r="L184" s="22">
        <v>5.91</v>
      </c>
      <c r="M184" s="22">
        <v>0.15</v>
      </c>
    </row>
    <row r="185" spans="1:13" ht="15.6" x14ac:dyDescent="0.3">
      <c r="A185" s="9">
        <v>386</v>
      </c>
      <c r="B185" s="18">
        <v>15</v>
      </c>
      <c r="C185" s="21" t="s">
        <v>385</v>
      </c>
      <c r="D185" s="22">
        <v>600</v>
      </c>
      <c r="E185" s="22">
        <v>0.84</v>
      </c>
      <c r="F185" s="22">
        <v>0.12</v>
      </c>
      <c r="G185" s="22">
        <v>10</v>
      </c>
      <c r="H185" s="22">
        <v>15</v>
      </c>
      <c r="I185" s="23">
        <v>0.19</v>
      </c>
      <c r="J185" s="22">
        <v>0.23</v>
      </c>
      <c r="K185" s="22">
        <v>3.24</v>
      </c>
      <c r="L185" s="22">
        <v>3.84</v>
      </c>
      <c r="M185" s="22">
        <v>0.3</v>
      </c>
    </row>
    <row r="186" spans="1:13" ht="15.6" x14ac:dyDescent="0.3">
      <c r="A186" s="9">
        <v>387</v>
      </c>
      <c r="B186" s="18">
        <v>16</v>
      </c>
      <c r="C186" s="21" t="s">
        <v>386</v>
      </c>
      <c r="D186" s="22">
        <v>800</v>
      </c>
      <c r="E186" s="22">
        <v>0.84</v>
      </c>
      <c r="F186" s="22">
        <v>0.16</v>
      </c>
      <c r="G186" s="22">
        <v>10</v>
      </c>
      <c r="H186" s="22">
        <v>15</v>
      </c>
      <c r="I186" s="23">
        <v>0.27</v>
      </c>
      <c r="J186" s="22">
        <v>0.33</v>
      </c>
      <c r="K186" s="22">
        <v>4.45</v>
      </c>
      <c r="L186" s="22">
        <v>5.32</v>
      </c>
      <c r="M186" s="22">
        <v>0.26</v>
      </c>
    </row>
    <row r="187" spans="1:13" ht="15.6" x14ac:dyDescent="0.3">
      <c r="A187" s="9">
        <v>388</v>
      </c>
      <c r="B187" s="18">
        <v>17</v>
      </c>
      <c r="C187" s="21" t="s">
        <v>387</v>
      </c>
      <c r="D187" s="22">
        <v>1000</v>
      </c>
      <c r="E187" s="22">
        <v>0.84</v>
      </c>
      <c r="F187" s="22">
        <v>0.22</v>
      </c>
      <c r="G187" s="22">
        <v>10</v>
      </c>
      <c r="H187" s="22">
        <v>15</v>
      </c>
      <c r="I187" s="23">
        <v>0.33</v>
      </c>
      <c r="J187" s="22">
        <v>0.38</v>
      </c>
      <c r="K187" s="22">
        <v>5.5</v>
      </c>
      <c r="L187" s="22">
        <v>6.38</v>
      </c>
      <c r="M187" s="22">
        <v>0.19</v>
      </c>
    </row>
    <row r="188" spans="1:13" ht="15.6" x14ac:dyDescent="0.3">
      <c r="A188" s="9">
        <v>389</v>
      </c>
      <c r="B188" s="18">
        <v>18</v>
      </c>
      <c r="C188" s="21" t="s">
        <v>388</v>
      </c>
      <c r="D188" s="22">
        <v>1200</v>
      </c>
      <c r="E188" s="22">
        <v>0.84</v>
      </c>
      <c r="F188" s="22">
        <v>0.28999999999999998</v>
      </c>
      <c r="G188" s="22">
        <v>10</v>
      </c>
      <c r="H188" s="22">
        <v>15</v>
      </c>
      <c r="I188" s="23">
        <v>0.44</v>
      </c>
      <c r="J188" s="22">
        <v>0.5</v>
      </c>
      <c r="K188" s="22">
        <v>6.96</v>
      </c>
      <c r="L188" s="22">
        <v>8.01</v>
      </c>
      <c r="M188" s="22">
        <v>0.15</v>
      </c>
    </row>
    <row r="189" spans="1:13" ht="15.6" x14ac:dyDescent="0.3">
      <c r="A189" s="9">
        <v>390</v>
      </c>
      <c r="B189" s="18">
        <v>19</v>
      </c>
      <c r="C189" s="21" t="s">
        <v>389</v>
      </c>
      <c r="D189" s="22">
        <v>1000</v>
      </c>
      <c r="E189" s="22">
        <v>0.84</v>
      </c>
      <c r="F189" s="22">
        <v>0.23</v>
      </c>
      <c r="G189" s="22">
        <v>5</v>
      </c>
      <c r="H189" s="22">
        <v>8</v>
      </c>
      <c r="I189" s="23">
        <v>0.31</v>
      </c>
      <c r="J189" s="22">
        <v>0.37</v>
      </c>
      <c r="K189" s="22">
        <v>4.87</v>
      </c>
      <c r="L189" s="22">
        <v>5.63</v>
      </c>
      <c r="M189" s="22">
        <v>0.11</v>
      </c>
    </row>
    <row r="190" spans="1:13" ht="15.6" x14ac:dyDescent="0.3">
      <c r="A190" s="9">
        <v>391</v>
      </c>
      <c r="B190" s="18">
        <v>20</v>
      </c>
      <c r="C190" s="21" t="s">
        <v>390</v>
      </c>
      <c r="D190" s="22">
        <v>1200</v>
      </c>
      <c r="E190" s="22">
        <v>0.84</v>
      </c>
      <c r="F190" s="22">
        <v>0.28999999999999998</v>
      </c>
      <c r="G190" s="22">
        <v>5</v>
      </c>
      <c r="H190" s="22">
        <v>8</v>
      </c>
      <c r="I190" s="23">
        <v>0.37</v>
      </c>
      <c r="J190" s="22">
        <v>0.44</v>
      </c>
      <c r="K190" s="22">
        <v>5.83</v>
      </c>
      <c r="L190" s="22">
        <v>6.73</v>
      </c>
      <c r="M190" s="22">
        <v>0.11</v>
      </c>
    </row>
    <row r="191" spans="1:13" ht="15.6" x14ac:dyDescent="0.3">
      <c r="A191" s="9">
        <v>392</v>
      </c>
      <c r="B191" s="18">
        <v>21</v>
      </c>
      <c r="C191" s="21" t="s">
        <v>391</v>
      </c>
      <c r="D191" s="22">
        <v>1400</v>
      </c>
      <c r="E191" s="22">
        <v>0.84</v>
      </c>
      <c r="F191" s="22">
        <v>0.35</v>
      </c>
      <c r="G191" s="22">
        <v>5</v>
      </c>
      <c r="H191" s="22">
        <v>8</v>
      </c>
      <c r="I191" s="23">
        <v>0.44</v>
      </c>
      <c r="J191" s="22">
        <v>0.52</v>
      </c>
      <c r="K191" s="22">
        <v>6.87</v>
      </c>
      <c r="L191" s="22">
        <v>7.9</v>
      </c>
      <c r="M191" s="22">
        <v>9.8000000000000004E-2</v>
      </c>
    </row>
    <row r="192" spans="1:13" ht="15.6" x14ac:dyDescent="0.3">
      <c r="A192" s="9">
        <v>393</v>
      </c>
      <c r="B192" s="18">
        <v>22</v>
      </c>
      <c r="C192" s="21" t="s">
        <v>392</v>
      </c>
      <c r="D192" s="22">
        <v>1600</v>
      </c>
      <c r="E192" s="22">
        <v>0.84</v>
      </c>
      <c r="F192" s="22">
        <v>0.41</v>
      </c>
      <c r="G192" s="22">
        <v>5</v>
      </c>
      <c r="H192" s="22">
        <v>8</v>
      </c>
      <c r="I192" s="23">
        <v>0.52</v>
      </c>
      <c r="J192" s="22">
        <v>0.63</v>
      </c>
      <c r="K192" s="22">
        <v>7.98</v>
      </c>
      <c r="L192" s="22">
        <v>9.2899999999999991</v>
      </c>
      <c r="M192" s="22">
        <v>0.09</v>
      </c>
    </row>
    <row r="193" spans="1:14" ht="15.6" x14ac:dyDescent="0.3">
      <c r="A193" s="9">
        <v>394</v>
      </c>
      <c r="B193" s="18">
        <v>23</v>
      </c>
      <c r="C193" s="21" t="s">
        <v>393</v>
      </c>
      <c r="D193" s="22">
        <v>1200</v>
      </c>
      <c r="E193" s="22">
        <v>0.84</v>
      </c>
      <c r="F193" s="22">
        <v>0.35</v>
      </c>
      <c r="G193" s="22">
        <v>5</v>
      </c>
      <c r="H193" s="22">
        <v>8</v>
      </c>
      <c r="I193" s="23">
        <v>0.47</v>
      </c>
      <c r="J193" s="22">
        <v>0.52</v>
      </c>
      <c r="K193" s="22">
        <v>6.57</v>
      </c>
      <c r="L193" s="22">
        <v>7.31</v>
      </c>
      <c r="M193" s="22">
        <v>0.11</v>
      </c>
    </row>
    <row r="194" spans="1:14" ht="15.6" x14ac:dyDescent="0.3">
      <c r="A194" s="9">
        <v>395</v>
      </c>
      <c r="B194" s="18">
        <v>24</v>
      </c>
      <c r="C194" s="21" t="s">
        <v>394</v>
      </c>
      <c r="D194" s="22">
        <v>1400</v>
      </c>
      <c r="E194" s="22">
        <v>0.84</v>
      </c>
      <c r="F194" s="22">
        <v>0.41</v>
      </c>
      <c r="G194" s="22">
        <v>5</v>
      </c>
      <c r="H194" s="22">
        <v>8</v>
      </c>
      <c r="I194" s="23">
        <v>0.52</v>
      </c>
      <c r="J194" s="22">
        <v>0.57999999999999996</v>
      </c>
      <c r="K194" s="22">
        <v>7.46</v>
      </c>
      <c r="L194" s="22">
        <v>8.34</v>
      </c>
      <c r="M194" s="22">
        <v>9.8000000000000004E-2</v>
      </c>
    </row>
    <row r="195" spans="1:14" ht="15.6" x14ac:dyDescent="0.3">
      <c r="A195" s="9">
        <v>396</v>
      </c>
      <c r="B195" s="18">
        <v>25</v>
      </c>
      <c r="C195" s="21" t="s">
        <v>395</v>
      </c>
      <c r="D195" s="22">
        <v>1600</v>
      </c>
      <c r="E195" s="22">
        <v>0.84</v>
      </c>
      <c r="F195" s="22">
        <v>0.47</v>
      </c>
      <c r="G195" s="22">
        <v>5</v>
      </c>
      <c r="H195" s="22">
        <v>8</v>
      </c>
      <c r="I195" s="23">
        <v>0.57999999999999996</v>
      </c>
      <c r="J195" s="22">
        <v>0.64</v>
      </c>
      <c r="K195" s="22">
        <v>8.43</v>
      </c>
      <c r="L195" s="22">
        <v>9.3699999999999992</v>
      </c>
      <c r="M195" s="22">
        <v>0.09</v>
      </c>
    </row>
    <row r="196" spans="1:14" ht="15.6" x14ac:dyDescent="0.3">
      <c r="A196" s="9">
        <v>397</v>
      </c>
      <c r="B196" s="18">
        <v>26</v>
      </c>
      <c r="C196" s="21" t="s">
        <v>396</v>
      </c>
      <c r="D196" s="22">
        <v>1000</v>
      </c>
      <c r="E196" s="22">
        <v>0.84</v>
      </c>
      <c r="F196" s="22">
        <v>0.24</v>
      </c>
      <c r="G196" s="22">
        <v>5</v>
      </c>
      <c r="H196" s="22">
        <v>8</v>
      </c>
      <c r="I196" s="23">
        <v>0.3</v>
      </c>
      <c r="J196" s="22">
        <v>0.35</v>
      </c>
      <c r="K196" s="22">
        <v>4.79</v>
      </c>
      <c r="L196" s="22">
        <v>5.48</v>
      </c>
      <c r="M196" s="22">
        <v>0.12</v>
      </c>
    </row>
    <row r="197" spans="1:14" ht="15.6" x14ac:dyDescent="0.3">
      <c r="A197" s="9">
        <v>398</v>
      </c>
      <c r="B197" s="18">
        <v>27</v>
      </c>
      <c r="C197" s="21" t="s">
        <v>397</v>
      </c>
      <c r="D197" s="22">
        <v>1200</v>
      </c>
      <c r="E197" s="22">
        <v>0.84</v>
      </c>
      <c r="F197" s="22">
        <v>0.35</v>
      </c>
      <c r="G197" s="22">
        <v>5</v>
      </c>
      <c r="H197" s="22">
        <v>8</v>
      </c>
      <c r="I197" s="23">
        <v>0.41</v>
      </c>
      <c r="J197" s="22">
        <v>0.47</v>
      </c>
      <c r="K197" s="22">
        <v>6.14</v>
      </c>
      <c r="L197" s="22">
        <v>6.95</v>
      </c>
      <c r="M197" s="22">
        <v>0.11</v>
      </c>
    </row>
    <row r="198" spans="1:14" ht="15.6" x14ac:dyDescent="0.3">
      <c r="A198" s="9">
        <v>399</v>
      </c>
      <c r="B198" s="18">
        <v>28</v>
      </c>
      <c r="C198" s="21" t="s">
        <v>398</v>
      </c>
      <c r="D198" s="22">
        <v>1400</v>
      </c>
      <c r="E198" s="22">
        <v>0.84</v>
      </c>
      <c r="F198" s="22">
        <v>0.47</v>
      </c>
      <c r="G198" s="22">
        <v>5</v>
      </c>
      <c r="H198" s="22">
        <v>8</v>
      </c>
      <c r="I198" s="23">
        <v>0.52</v>
      </c>
      <c r="J198" s="22">
        <v>0.57999999999999996</v>
      </c>
      <c r="K198" s="22">
        <v>7.46</v>
      </c>
      <c r="L198" s="22">
        <v>8.34</v>
      </c>
      <c r="M198" s="22">
        <v>0.09</v>
      </c>
    </row>
    <row r="199" spans="1:14" ht="15.6" x14ac:dyDescent="0.3">
      <c r="A199" s="9">
        <v>400</v>
      </c>
      <c r="B199" s="18">
        <v>29</v>
      </c>
      <c r="C199" s="21" t="s">
        <v>241</v>
      </c>
      <c r="D199" s="22"/>
      <c r="E199" s="22"/>
      <c r="F199" s="22"/>
      <c r="G199" s="22"/>
      <c r="H199" s="22"/>
      <c r="I199" s="23">
        <v>1</v>
      </c>
      <c r="J199" s="22">
        <v>1</v>
      </c>
      <c r="K199" s="22"/>
      <c r="L199" s="22"/>
      <c r="M199" s="22">
        <v>1</v>
      </c>
    </row>
    <row r="200" spans="1:14" ht="15.6" x14ac:dyDescent="0.3">
      <c r="A200" s="9">
        <v>424</v>
      </c>
      <c r="C200" s="54" t="s">
        <v>209</v>
      </c>
      <c r="D200" s="22"/>
      <c r="E200" s="22"/>
      <c r="F200" s="22"/>
      <c r="G200" s="22"/>
      <c r="H200" s="22"/>
      <c r="I200" s="23"/>
      <c r="J200" s="22"/>
      <c r="K200" s="22"/>
      <c r="L200" s="22"/>
      <c r="M200" s="22"/>
    </row>
    <row r="201" spans="1:14" ht="15.6" x14ac:dyDescent="0.3">
      <c r="A201" s="9">
        <v>425</v>
      </c>
      <c r="B201" s="18">
        <v>1</v>
      </c>
      <c r="C201" s="21" t="s">
        <v>399</v>
      </c>
      <c r="D201" s="22">
        <v>1000</v>
      </c>
      <c r="E201" s="22">
        <v>0.84</v>
      </c>
      <c r="F201" s="22">
        <v>0.23</v>
      </c>
      <c r="G201" s="22">
        <v>4</v>
      </c>
      <c r="H201" s="22">
        <v>6</v>
      </c>
      <c r="I201" s="23">
        <v>0.28999999999999998</v>
      </c>
      <c r="J201" s="22">
        <v>0.35</v>
      </c>
      <c r="K201" s="22">
        <v>4.62</v>
      </c>
      <c r="L201" s="22">
        <v>5.28</v>
      </c>
      <c r="M201" s="22">
        <v>0.11</v>
      </c>
      <c r="N201" s="24"/>
    </row>
    <row r="202" spans="1:14" ht="15.6" x14ac:dyDescent="0.3">
      <c r="A202" s="9">
        <v>426</v>
      </c>
      <c r="B202" s="18">
        <v>2</v>
      </c>
      <c r="C202" s="21" t="s">
        <v>400</v>
      </c>
      <c r="D202" s="22">
        <v>1200</v>
      </c>
      <c r="E202" s="22">
        <v>0.84</v>
      </c>
      <c r="F202" s="22">
        <v>0.35</v>
      </c>
      <c r="G202" s="22">
        <v>4</v>
      </c>
      <c r="H202" s="22">
        <v>6</v>
      </c>
      <c r="I202" s="23">
        <v>0.41</v>
      </c>
      <c r="J202" s="22">
        <v>0.47</v>
      </c>
      <c r="K202" s="22">
        <v>6.01</v>
      </c>
      <c r="L202" s="22">
        <v>6.7</v>
      </c>
      <c r="M202" s="22">
        <v>0.1</v>
      </c>
      <c r="N202" s="24"/>
    </row>
    <row r="203" spans="1:14" ht="15.6" x14ac:dyDescent="0.3">
      <c r="A203" s="9">
        <v>427</v>
      </c>
      <c r="B203" s="18">
        <v>3</v>
      </c>
      <c r="C203" s="21" t="s">
        <v>401</v>
      </c>
      <c r="D203" s="22">
        <v>800</v>
      </c>
      <c r="E203" s="22">
        <v>0.84</v>
      </c>
      <c r="F203" s="22">
        <v>0.15</v>
      </c>
      <c r="G203" s="22">
        <v>4</v>
      </c>
      <c r="H203" s="22">
        <v>6</v>
      </c>
      <c r="I203" s="23">
        <v>0.19</v>
      </c>
      <c r="J203" s="22">
        <v>0.21</v>
      </c>
      <c r="K203" s="22">
        <v>3.34</v>
      </c>
      <c r="L203" s="22">
        <v>3.66</v>
      </c>
      <c r="M203" s="22">
        <v>7.4999999999999997E-2</v>
      </c>
      <c r="N203" s="24"/>
    </row>
    <row r="204" spans="1:14" ht="15.6" x14ac:dyDescent="0.3">
      <c r="A204" s="9">
        <v>428</v>
      </c>
      <c r="B204" s="18">
        <v>4</v>
      </c>
      <c r="C204" s="21" t="s">
        <v>241</v>
      </c>
      <c r="D204" s="22"/>
      <c r="E204" s="22"/>
      <c r="F204" s="22"/>
      <c r="G204" s="22"/>
      <c r="H204" s="22"/>
      <c r="I204" s="23">
        <v>1</v>
      </c>
      <c r="J204" s="22">
        <v>1</v>
      </c>
      <c r="K204" s="22"/>
      <c r="L204" s="22"/>
      <c r="M204" s="22">
        <v>1</v>
      </c>
      <c r="N204" s="24"/>
    </row>
    <row r="205" spans="1:14" ht="15.6" x14ac:dyDescent="0.3">
      <c r="A205" s="9">
        <v>477</v>
      </c>
      <c r="C205" s="54" t="s">
        <v>202</v>
      </c>
      <c r="D205" s="10"/>
      <c r="E205" s="10"/>
      <c r="F205" s="10"/>
      <c r="G205" s="10"/>
      <c r="H205" s="10"/>
      <c r="I205" s="53"/>
      <c r="J205" s="10"/>
      <c r="K205" s="10"/>
      <c r="L205" s="10"/>
      <c r="M205" s="10"/>
    </row>
    <row r="206" spans="1:14" ht="15.6" x14ac:dyDescent="0.3">
      <c r="A206" s="9">
        <v>478</v>
      </c>
      <c r="B206" s="18">
        <v>1</v>
      </c>
      <c r="C206" s="21" t="s">
        <v>402</v>
      </c>
      <c r="D206" s="22">
        <v>700</v>
      </c>
      <c r="E206" s="22">
        <v>0.84</v>
      </c>
      <c r="F206" s="22">
        <v>0.2</v>
      </c>
      <c r="G206" s="22">
        <v>4</v>
      </c>
      <c r="H206" s="22">
        <v>8</v>
      </c>
      <c r="I206" s="23">
        <v>0.21</v>
      </c>
      <c r="J206" s="22">
        <v>0.23</v>
      </c>
      <c r="K206" s="22">
        <v>3.28</v>
      </c>
      <c r="L206" s="22">
        <v>3.63</v>
      </c>
      <c r="M206" s="22">
        <v>0.19</v>
      </c>
    </row>
    <row r="207" spans="1:14" ht="15.6" x14ac:dyDescent="0.3">
      <c r="A207" s="9">
        <v>479</v>
      </c>
      <c r="B207" s="18">
        <v>2</v>
      </c>
      <c r="C207" s="21" t="s">
        <v>403</v>
      </c>
      <c r="D207" s="22">
        <v>800</v>
      </c>
      <c r="E207" s="22">
        <v>0.84</v>
      </c>
      <c r="F207" s="22">
        <v>0.21</v>
      </c>
      <c r="G207" s="22">
        <v>4</v>
      </c>
      <c r="H207" s="22">
        <v>8</v>
      </c>
      <c r="I207" s="23">
        <v>0.22</v>
      </c>
      <c r="J207" s="22">
        <v>0.24</v>
      </c>
      <c r="K207" s="22">
        <v>3.59</v>
      </c>
      <c r="L207" s="22">
        <v>4.05</v>
      </c>
      <c r="M207" s="22">
        <v>0.17</v>
      </c>
    </row>
    <row r="208" spans="1:14" ht="15.6" x14ac:dyDescent="0.3">
      <c r="A208" s="9">
        <v>480</v>
      </c>
      <c r="B208" s="18">
        <v>3</v>
      </c>
      <c r="C208" s="21" t="s">
        <v>404</v>
      </c>
      <c r="D208" s="22">
        <v>1000</v>
      </c>
      <c r="E208" s="22">
        <v>0.84</v>
      </c>
      <c r="F208" s="22">
        <v>0.23</v>
      </c>
      <c r="G208" s="22">
        <v>4</v>
      </c>
      <c r="H208" s="22">
        <v>8</v>
      </c>
      <c r="I208" s="23">
        <v>0.23</v>
      </c>
      <c r="J208" s="22">
        <v>0.27</v>
      </c>
      <c r="K208" s="22">
        <v>4.28</v>
      </c>
      <c r="L208" s="22">
        <v>4.8099999999999996</v>
      </c>
      <c r="M208" s="22">
        <v>0.13</v>
      </c>
    </row>
    <row r="209" spans="1:13" ht="15.6" x14ac:dyDescent="0.3">
      <c r="A209" s="9">
        <v>481</v>
      </c>
      <c r="B209" s="18">
        <v>4</v>
      </c>
      <c r="C209" s="21" t="s">
        <v>405</v>
      </c>
      <c r="D209" s="22">
        <v>1200</v>
      </c>
      <c r="E209" s="22">
        <v>0.84</v>
      </c>
      <c r="F209" s="22">
        <v>0.25</v>
      </c>
      <c r="G209" s="22">
        <v>4</v>
      </c>
      <c r="H209" s="22">
        <v>8</v>
      </c>
      <c r="I209" s="23">
        <v>0.27</v>
      </c>
      <c r="J209" s="22">
        <v>0.28999999999999998</v>
      </c>
      <c r="K209" s="22">
        <v>4.87</v>
      </c>
      <c r="L209" s="22">
        <v>5.45</v>
      </c>
      <c r="M209" s="22">
        <v>0.11</v>
      </c>
    </row>
    <row r="210" spans="1:13" ht="15.6" x14ac:dyDescent="0.3">
      <c r="A210" s="9">
        <v>482</v>
      </c>
      <c r="B210" s="18">
        <v>5</v>
      </c>
      <c r="C210" s="21" t="s">
        <v>241</v>
      </c>
      <c r="D210" s="22"/>
      <c r="E210" s="22"/>
      <c r="F210" s="22"/>
      <c r="G210" s="22"/>
      <c r="H210" s="22"/>
      <c r="I210" s="23">
        <v>1</v>
      </c>
      <c r="J210" s="22">
        <v>1</v>
      </c>
      <c r="K210" s="22"/>
      <c r="L210" s="22"/>
      <c r="M210" s="22">
        <v>1</v>
      </c>
    </row>
    <row r="211" spans="1:13" ht="15.6" x14ac:dyDescent="0.3">
      <c r="A211" s="9">
        <v>530</v>
      </c>
      <c r="C211" s="54" t="s">
        <v>203</v>
      </c>
      <c r="D211" s="10"/>
      <c r="E211" s="10"/>
      <c r="F211" s="10"/>
      <c r="G211" s="10"/>
      <c r="H211" s="10"/>
      <c r="I211" s="53"/>
      <c r="J211" s="10"/>
      <c r="K211" s="10"/>
      <c r="L211" s="10"/>
      <c r="M211" s="10"/>
    </row>
    <row r="212" spans="1:13" ht="15.6" x14ac:dyDescent="0.3">
      <c r="A212" s="9">
        <v>531</v>
      </c>
      <c r="B212" s="18">
        <v>1</v>
      </c>
      <c r="C212" s="21" t="s">
        <v>406</v>
      </c>
      <c r="D212" s="22">
        <v>500</v>
      </c>
      <c r="E212" s="22">
        <v>2.2999999999999998</v>
      </c>
      <c r="F212" s="22">
        <v>0.09</v>
      </c>
      <c r="G212" s="22">
        <v>15</v>
      </c>
      <c r="H212" s="22">
        <v>20</v>
      </c>
      <c r="I212" s="23">
        <v>0.14000000000000001</v>
      </c>
      <c r="J212" s="22">
        <v>0.18</v>
      </c>
      <c r="K212" s="22">
        <v>3.87</v>
      </c>
      <c r="L212" s="22">
        <v>4.54</v>
      </c>
      <c r="M212" s="22">
        <v>0.06</v>
      </c>
    </row>
    <row r="213" spans="1:13" ht="15.6" x14ac:dyDescent="0.3">
      <c r="A213" s="9">
        <v>532</v>
      </c>
      <c r="B213" s="18">
        <v>2</v>
      </c>
      <c r="C213" s="21" t="s">
        <v>407</v>
      </c>
      <c r="D213" s="22">
        <v>500</v>
      </c>
      <c r="E213" s="22">
        <v>2.2999999999999998</v>
      </c>
      <c r="F213" s="22">
        <v>0.18</v>
      </c>
      <c r="G213" s="22">
        <v>15</v>
      </c>
      <c r="H213" s="22">
        <v>20</v>
      </c>
      <c r="I213" s="23">
        <v>0.28999999999999998</v>
      </c>
      <c r="J213" s="22">
        <v>0.35</v>
      </c>
      <c r="K213" s="22">
        <v>5.56</v>
      </c>
      <c r="L213" s="22">
        <v>6.33</v>
      </c>
      <c r="M213" s="22">
        <v>0.32</v>
      </c>
    </row>
    <row r="214" spans="1:13" ht="15" customHeight="1" x14ac:dyDescent="0.3">
      <c r="A214" s="9">
        <v>533</v>
      </c>
      <c r="B214" s="18">
        <v>3</v>
      </c>
      <c r="C214" s="21" t="s">
        <v>408</v>
      </c>
      <c r="D214" s="22">
        <v>700</v>
      </c>
      <c r="E214" s="22">
        <v>2.2999999999999998</v>
      </c>
      <c r="F214" s="22">
        <v>0.1</v>
      </c>
      <c r="G214" s="22">
        <v>10</v>
      </c>
      <c r="H214" s="22">
        <v>15</v>
      </c>
      <c r="I214" s="23">
        <v>0.18</v>
      </c>
      <c r="J214" s="22">
        <v>0.23</v>
      </c>
      <c r="K214" s="22">
        <v>5</v>
      </c>
      <c r="L214" s="22">
        <v>5.86</v>
      </c>
      <c r="M214" s="22">
        <v>0.05</v>
      </c>
    </row>
    <row r="215" spans="1:13" ht="15.6" x14ac:dyDescent="0.3">
      <c r="A215" s="9">
        <v>534</v>
      </c>
      <c r="B215" s="18">
        <v>4</v>
      </c>
      <c r="C215" s="21" t="s">
        <v>409</v>
      </c>
      <c r="D215" s="22">
        <v>700</v>
      </c>
      <c r="E215" s="22">
        <v>2.2999999999999998</v>
      </c>
      <c r="F215" s="22">
        <v>0.23</v>
      </c>
      <c r="G215" s="22">
        <v>10</v>
      </c>
      <c r="H215" s="22">
        <v>15</v>
      </c>
      <c r="I215" s="23">
        <v>0.35</v>
      </c>
      <c r="J215" s="22">
        <v>0.41</v>
      </c>
      <c r="K215" s="22">
        <v>6.9</v>
      </c>
      <c r="L215" s="22">
        <v>7.83</v>
      </c>
      <c r="M215" s="22">
        <v>0.3</v>
      </c>
    </row>
    <row r="216" spans="1:13" ht="15.6" x14ac:dyDescent="0.3">
      <c r="A216" s="9">
        <v>535</v>
      </c>
      <c r="B216" s="18">
        <v>5</v>
      </c>
      <c r="C216" s="21" t="s">
        <v>410</v>
      </c>
      <c r="D216" s="22">
        <v>600</v>
      </c>
      <c r="E216" s="22">
        <v>2.2999999999999998</v>
      </c>
      <c r="F216" s="22">
        <v>0.12</v>
      </c>
      <c r="G216" s="22">
        <v>10</v>
      </c>
      <c r="H216" s="22">
        <v>13</v>
      </c>
      <c r="I216" s="23">
        <v>0.15</v>
      </c>
      <c r="J216" s="22">
        <v>0.18</v>
      </c>
      <c r="K216" s="22">
        <v>4.22</v>
      </c>
      <c r="L216" s="22">
        <v>4.7300000000000004</v>
      </c>
      <c r="M216" s="22">
        <v>0.02</v>
      </c>
    </row>
    <row r="217" spans="1:13" ht="15" customHeight="1" x14ac:dyDescent="0.3">
      <c r="A217" s="9">
        <v>536</v>
      </c>
      <c r="B217" s="18">
        <v>6</v>
      </c>
      <c r="C217" s="21" t="s">
        <v>411</v>
      </c>
      <c r="D217" s="22">
        <v>1000</v>
      </c>
      <c r="E217" s="22">
        <v>2.2999999999999998</v>
      </c>
      <c r="F217" s="22">
        <v>0.18</v>
      </c>
      <c r="G217" s="22">
        <v>5</v>
      </c>
      <c r="H217" s="22">
        <v>10</v>
      </c>
      <c r="I217" s="23">
        <v>0.21</v>
      </c>
      <c r="J217" s="22">
        <v>0.23</v>
      </c>
      <c r="K217" s="22">
        <v>6.2</v>
      </c>
      <c r="L217" s="22">
        <v>6.75</v>
      </c>
      <c r="M217" s="22">
        <v>0.06</v>
      </c>
    </row>
    <row r="218" spans="1:13" ht="15.6" x14ac:dyDescent="0.3">
      <c r="A218" s="9">
        <v>537</v>
      </c>
      <c r="B218" s="18">
        <v>7</v>
      </c>
      <c r="C218" s="21" t="s">
        <v>412</v>
      </c>
      <c r="D218" s="22">
        <v>650</v>
      </c>
      <c r="E218" s="22">
        <v>2.2999999999999998</v>
      </c>
      <c r="F218" s="22">
        <v>0.13</v>
      </c>
      <c r="G218" s="22">
        <v>6</v>
      </c>
      <c r="H218" s="22">
        <v>12</v>
      </c>
      <c r="I218" s="23">
        <v>0.15</v>
      </c>
      <c r="J218" s="22">
        <v>0.18</v>
      </c>
      <c r="K218" s="22">
        <v>4.26</v>
      </c>
      <c r="L218" s="22">
        <v>4.8899999999999997</v>
      </c>
      <c r="M218" s="22">
        <v>8.3000000000000004E-2</v>
      </c>
    </row>
    <row r="219" spans="1:13" ht="15.6" x14ac:dyDescent="0.3">
      <c r="A219" s="9">
        <v>538</v>
      </c>
      <c r="B219" s="18">
        <v>8</v>
      </c>
      <c r="C219" s="21" t="s">
        <v>241</v>
      </c>
      <c r="D219" s="22"/>
      <c r="E219" s="22"/>
      <c r="F219" s="22"/>
      <c r="G219" s="22"/>
      <c r="H219" s="22"/>
      <c r="I219" s="23">
        <v>1</v>
      </c>
      <c r="J219" s="22">
        <v>1</v>
      </c>
      <c r="K219" s="22"/>
      <c r="L219" s="22"/>
      <c r="M219" s="22">
        <v>1</v>
      </c>
    </row>
    <row r="220" spans="1:13" ht="15.6" x14ac:dyDescent="0.3">
      <c r="A220" s="9">
        <v>583</v>
      </c>
      <c r="C220" s="54" t="s">
        <v>204</v>
      </c>
      <c r="D220" s="10"/>
      <c r="E220" s="10"/>
      <c r="F220" s="10"/>
      <c r="G220" s="10"/>
      <c r="H220" s="10"/>
      <c r="I220" s="53"/>
      <c r="J220" s="10"/>
      <c r="K220" s="10"/>
      <c r="L220" s="10"/>
      <c r="M220" s="10"/>
    </row>
    <row r="221" spans="1:13" ht="15.6" x14ac:dyDescent="0.3">
      <c r="A221" s="9">
        <v>584</v>
      </c>
      <c r="B221" s="18">
        <v>1</v>
      </c>
      <c r="C221" s="21" t="s">
        <v>413</v>
      </c>
      <c r="D221" s="22">
        <v>1600</v>
      </c>
      <c r="E221" s="22">
        <v>0.88</v>
      </c>
      <c r="F221" s="22">
        <v>0.47</v>
      </c>
      <c r="G221" s="22">
        <v>1</v>
      </c>
      <c r="H221" s="22">
        <v>2</v>
      </c>
      <c r="I221" s="23">
        <v>0.57999999999999996</v>
      </c>
      <c r="J221" s="22">
        <v>0.64</v>
      </c>
      <c r="K221" s="22">
        <v>7.91</v>
      </c>
      <c r="L221" s="22">
        <v>8.48</v>
      </c>
      <c r="M221" s="22">
        <v>0.14000000000000001</v>
      </c>
    </row>
    <row r="222" spans="1:13" ht="15.6" x14ac:dyDescent="0.3">
      <c r="A222" s="9">
        <v>585</v>
      </c>
      <c r="B222" s="18">
        <v>2</v>
      </c>
      <c r="C222" s="21" t="s">
        <v>414</v>
      </c>
      <c r="D222" s="22">
        <v>1400</v>
      </c>
      <c r="E222" s="22">
        <v>0.88</v>
      </c>
      <c r="F222" s="22">
        <v>0.41</v>
      </c>
      <c r="G222" s="22">
        <v>1</v>
      </c>
      <c r="H222" s="22">
        <v>2</v>
      </c>
      <c r="I222" s="23">
        <v>0.52</v>
      </c>
      <c r="J222" s="22">
        <v>0.57999999999999996</v>
      </c>
      <c r="K222" s="22">
        <v>7.01</v>
      </c>
      <c r="L222" s="22">
        <v>7.56</v>
      </c>
      <c r="M222" s="22">
        <v>0.16</v>
      </c>
    </row>
    <row r="223" spans="1:13" ht="15.6" x14ac:dyDescent="0.3">
      <c r="A223" s="9">
        <v>586</v>
      </c>
      <c r="B223" s="18">
        <v>3</v>
      </c>
      <c r="C223" s="21" t="s">
        <v>415</v>
      </c>
      <c r="D223" s="22">
        <v>1200</v>
      </c>
      <c r="E223" s="22">
        <v>0.88</v>
      </c>
      <c r="F223" s="22">
        <v>0.35</v>
      </c>
      <c r="G223" s="22">
        <v>1</v>
      </c>
      <c r="H223" s="22">
        <v>2</v>
      </c>
      <c r="I223" s="23">
        <v>0.47</v>
      </c>
      <c r="J223" s="22">
        <v>0.52</v>
      </c>
      <c r="K223" s="22">
        <v>6.16</v>
      </c>
      <c r="L223" s="22">
        <v>6.62</v>
      </c>
      <c r="M223" s="22">
        <v>0.17</v>
      </c>
    </row>
    <row r="224" spans="1:13" ht="15.6" x14ac:dyDescent="0.3">
      <c r="A224" s="9">
        <v>587</v>
      </c>
      <c r="B224" s="18">
        <v>4</v>
      </c>
      <c r="C224" s="21" t="s">
        <v>241</v>
      </c>
      <c r="D224" s="22"/>
      <c r="E224" s="22"/>
      <c r="F224" s="22"/>
      <c r="G224" s="22"/>
      <c r="H224" s="22"/>
      <c r="I224" s="23">
        <v>1</v>
      </c>
      <c r="J224" s="22">
        <v>1</v>
      </c>
      <c r="K224" s="22"/>
      <c r="L224" s="22"/>
      <c r="M224" s="22">
        <v>1</v>
      </c>
    </row>
    <row r="225" spans="1:13" ht="15.6" x14ac:dyDescent="0.3">
      <c r="A225" s="9">
        <v>636</v>
      </c>
      <c r="C225" s="54" t="s">
        <v>205</v>
      </c>
      <c r="D225" s="10"/>
      <c r="E225" s="10"/>
      <c r="F225" s="10"/>
      <c r="G225" s="10"/>
      <c r="H225" s="10"/>
      <c r="I225" s="53"/>
      <c r="J225" s="10"/>
      <c r="K225" s="10"/>
      <c r="L225" s="10"/>
      <c r="M225" s="10"/>
    </row>
    <row r="226" spans="1:13" ht="15.6" x14ac:dyDescent="0.3">
      <c r="A226" s="9">
        <v>637</v>
      </c>
      <c r="B226" s="18">
        <v>1</v>
      </c>
      <c r="C226" s="21" t="s">
        <v>416</v>
      </c>
      <c r="D226" s="22">
        <v>1400</v>
      </c>
      <c r="E226" s="22">
        <v>0.88</v>
      </c>
      <c r="F226" s="22">
        <v>0.34</v>
      </c>
      <c r="G226" s="22">
        <v>1</v>
      </c>
      <c r="H226" s="22">
        <v>2</v>
      </c>
      <c r="I226" s="23">
        <v>0.46</v>
      </c>
      <c r="J226" s="22">
        <v>0.51</v>
      </c>
      <c r="K226" s="22">
        <v>5.95</v>
      </c>
      <c r="L226" s="22">
        <v>6.41</v>
      </c>
      <c r="M226" s="22">
        <v>0.15</v>
      </c>
    </row>
    <row r="227" spans="1:13" ht="15.6" x14ac:dyDescent="0.3">
      <c r="A227" s="9">
        <v>638</v>
      </c>
      <c r="B227" s="18">
        <v>2</v>
      </c>
      <c r="C227" s="21" t="s">
        <v>417</v>
      </c>
      <c r="D227" s="22">
        <v>1350</v>
      </c>
      <c r="E227" s="22">
        <v>0.88</v>
      </c>
      <c r="F227" s="22">
        <v>0.31</v>
      </c>
      <c r="G227" s="22">
        <v>1</v>
      </c>
      <c r="H227" s="22">
        <v>2</v>
      </c>
      <c r="I227" s="23">
        <v>0.37</v>
      </c>
      <c r="J227" s="22">
        <v>0.43</v>
      </c>
      <c r="K227" s="22">
        <v>5.0599999999999996</v>
      </c>
      <c r="L227" s="22">
        <v>5.91</v>
      </c>
      <c r="M227" s="22">
        <v>0.15</v>
      </c>
    </row>
    <row r="228" spans="1:13" ht="15.6" x14ac:dyDescent="0.3">
      <c r="A228" s="9">
        <v>639</v>
      </c>
      <c r="B228" s="18">
        <v>3</v>
      </c>
      <c r="C228" s="21" t="s">
        <v>418</v>
      </c>
      <c r="D228" s="22">
        <v>400</v>
      </c>
      <c r="E228" s="22">
        <v>0.88</v>
      </c>
      <c r="F228" s="22">
        <v>8.5000000000000006E-2</v>
      </c>
      <c r="G228" s="22">
        <v>3</v>
      </c>
      <c r="H228" s="22">
        <v>6</v>
      </c>
      <c r="I228" s="23">
        <v>0.09</v>
      </c>
      <c r="J228" s="22">
        <v>9.1999999999999998E-2</v>
      </c>
      <c r="K228" s="22">
        <v>1.62</v>
      </c>
      <c r="L228" s="22">
        <v>1.74</v>
      </c>
      <c r="M228" s="22">
        <v>0.22</v>
      </c>
    </row>
    <row r="229" spans="1:13" ht="15.6" x14ac:dyDescent="0.3">
      <c r="A229" s="9">
        <v>640</v>
      </c>
      <c r="B229" s="18">
        <v>4</v>
      </c>
      <c r="C229" s="21" t="s">
        <v>241</v>
      </c>
      <c r="D229" s="22"/>
      <c r="E229" s="22"/>
      <c r="F229" s="22"/>
      <c r="G229" s="22"/>
      <c r="H229" s="22"/>
      <c r="I229" s="23">
        <v>1</v>
      </c>
      <c r="J229" s="22">
        <v>1</v>
      </c>
      <c r="K229" s="22"/>
      <c r="L229" s="22"/>
      <c r="M229" s="22">
        <v>1</v>
      </c>
    </row>
    <row r="230" spans="1:13" ht="15.6" x14ac:dyDescent="0.3">
      <c r="A230" s="9">
        <v>689</v>
      </c>
      <c r="C230" s="54" t="s">
        <v>206</v>
      </c>
      <c r="D230" s="10"/>
      <c r="E230" s="10"/>
      <c r="F230" s="10"/>
      <c r="G230" s="10"/>
      <c r="H230" s="10"/>
      <c r="I230" s="53"/>
      <c r="J230" s="10"/>
      <c r="K230" s="10"/>
      <c r="L230" s="10"/>
      <c r="M230" s="10"/>
    </row>
    <row r="231" spans="1:13" ht="15.6" x14ac:dyDescent="0.3">
      <c r="A231" s="9">
        <v>690</v>
      </c>
      <c r="B231" s="18">
        <v>1</v>
      </c>
      <c r="C231" s="21" t="s">
        <v>419</v>
      </c>
      <c r="D231" s="22">
        <v>2500</v>
      </c>
      <c r="E231" s="22">
        <v>0.84</v>
      </c>
      <c r="F231" s="22">
        <v>1.69</v>
      </c>
      <c r="G231" s="22">
        <v>2</v>
      </c>
      <c r="H231" s="22">
        <v>3</v>
      </c>
      <c r="I231" s="23">
        <v>1.92</v>
      </c>
      <c r="J231" s="22">
        <v>2.04</v>
      </c>
      <c r="K231" s="22">
        <v>17.98</v>
      </c>
      <c r="L231" s="22">
        <v>18.95</v>
      </c>
      <c r="M231" s="22">
        <v>0.03</v>
      </c>
    </row>
    <row r="232" spans="1:13" ht="15.6" x14ac:dyDescent="0.3">
      <c r="A232" s="9">
        <v>691</v>
      </c>
      <c r="B232" s="18">
        <v>2</v>
      </c>
      <c r="C232" s="21" t="s">
        <v>420</v>
      </c>
      <c r="D232" s="22">
        <v>2400</v>
      </c>
      <c r="E232" s="22">
        <v>0.84</v>
      </c>
      <c r="F232" s="22">
        <v>1.51</v>
      </c>
      <c r="G232" s="22">
        <v>2</v>
      </c>
      <c r="H232" s="22">
        <v>3</v>
      </c>
      <c r="I232" s="23">
        <v>1.74</v>
      </c>
      <c r="J232" s="22">
        <v>1.86</v>
      </c>
      <c r="K232" s="22">
        <v>16.77</v>
      </c>
      <c r="L232" s="22">
        <v>17.88</v>
      </c>
      <c r="M232" s="22">
        <v>0.03</v>
      </c>
    </row>
    <row r="233" spans="1:13" ht="15.6" x14ac:dyDescent="0.3">
      <c r="A233" s="9">
        <v>692</v>
      </c>
      <c r="B233" s="18">
        <v>3</v>
      </c>
      <c r="C233" s="21" t="s">
        <v>241</v>
      </c>
      <c r="D233" s="22"/>
      <c r="E233" s="22"/>
      <c r="F233" s="22"/>
      <c r="G233" s="22"/>
      <c r="H233" s="22"/>
      <c r="I233" s="23">
        <v>1</v>
      </c>
      <c r="J233" s="22">
        <v>1</v>
      </c>
      <c r="K233" s="22"/>
      <c r="L233" s="22"/>
      <c r="M233" s="22">
        <v>1</v>
      </c>
    </row>
    <row r="234" spans="1:13" ht="15.6" x14ac:dyDescent="0.3">
      <c r="A234" s="9">
        <v>742</v>
      </c>
      <c r="C234" s="54" t="s">
        <v>210</v>
      </c>
      <c r="D234" s="10"/>
      <c r="E234" s="10"/>
      <c r="F234" s="10"/>
      <c r="G234" s="10"/>
      <c r="H234" s="10"/>
      <c r="I234" s="53"/>
      <c r="J234" s="10"/>
      <c r="K234" s="10"/>
      <c r="L234" s="10"/>
      <c r="M234" s="10"/>
    </row>
    <row r="235" spans="1:13" ht="15.6" x14ac:dyDescent="0.3">
      <c r="A235" s="9">
        <v>743</v>
      </c>
      <c r="B235" s="18">
        <v>1</v>
      </c>
      <c r="C235" s="21" t="s">
        <v>421</v>
      </c>
      <c r="D235" s="22">
        <v>1600</v>
      </c>
      <c r="E235" s="22">
        <v>0.84</v>
      </c>
      <c r="F235" s="22">
        <v>0.47</v>
      </c>
      <c r="G235" s="22">
        <v>2</v>
      </c>
      <c r="H235" s="22">
        <v>4</v>
      </c>
      <c r="I235" s="23">
        <v>0.7</v>
      </c>
      <c r="J235" s="22">
        <v>0.81</v>
      </c>
      <c r="K235" s="22">
        <v>8.69</v>
      </c>
      <c r="L235" s="22">
        <v>9.76</v>
      </c>
      <c r="M235" s="22">
        <v>0.12</v>
      </c>
    </row>
    <row r="236" spans="1:13" ht="15.6" x14ac:dyDescent="0.3">
      <c r="A236" s="9">
        <v>744</v>
      </c>
      <c r="B236" s="18">
        <v>2</v>
      </c>
      <c r="C236" s="21" t="s">
        <v>422</v>
      </c>
      <c r="D236" s="22">
        <v>1700</v>
      </c>
      <c r="E236" s="22">
        <v>0.84</v>
      </c>
      <c r="F236" s="22">
        <v>0.52</v>
      </c>
      <c r="G236" s="22">
        <v>2</v>
      </c>
      <c r="H236" s="22">
        <v>4</v>
      </c>
      <c r="I236" s="23">
        <v>0.7</v>
      </c>
      <c r="J236" s="22">
        <v>0.87</v>
      </c>
      <c r="K236" s="22">
        <v>8.9499999999999993</v>
      </c>
      <c r="L236" s="22">
        <v>10.42</v>
      </c>
      <c r="M236" s="22">
        <v>9.8000000000000004E-2</v>
      </c>
    </row>
    <row r="237" spans="1:13" ht="15.6" x14ac:dyDescent="0.3">
      <c r="A237" s="9">
        <v>745</v>
      </c>
      <c r="B237" s="18">
        <v>3</v>
      </c>
      <c r="C237" s="21" t="s">
        <v>423</v>
      </c>
      <c r="D237" s="22">
        <v>1800</v>
      </c>
      <c r="E237" s="22">
        <v>0.84</v>
      </c>
      <c r="F237" s="22">
        <v>0.57999999999999996</v>
      </c>
      <c r="G237" s="22">
        <v>2</v>
      </c>
      <c r="H237" s="22">
        <v>4</v>
      </c>
      <c r="I237" s="23">
        <v>0.76</v>
      </c>
      <c r="J237" s="22">
        <v>0.93</v>
      </c>
      <c r="K237" s="22">
        <v>9.6</v>
      </c>
      <c r="L237" s="22">
        <v>11.09</v>
      </c>
      <c r="M237" s="22">
        <v>0.09</v>
      </c>
    </row>
    <row r="238" spans="1:13" ht="15.6" x14ac:dyDescent="0.3">
      <c r="A238" s="9">
        <v>746</v>
      </c>
      <c r="B238" s="18">
        <v>4</v>
      </c>
      <c r="C238" s="21" t="s">
        <v>241</v>
      </c>
      <c r="D238" s="22"/>
      <c r="E238" s="22"/>
      <c r="F238" s="22"/>
      <c r="G238" s="22"/>
      <c r="H238" s="22"/>
      <c r="I238" s="23">
        <v>1</v>
      </c>
      <c r="J238" s="22">
        <v>1</v>
      </c>
      <c r="K238" s="22"/>
      <c r="L238" s="22"/>
      <c r="M238" s="22">
        <v>1</v>
      </c>
    </row>
    <row r="239" spans="1:13" ht="15.6" x14ac:dyDescent="0.3">
      <c r="A239" s="9">
        <v>795</v>
      </c>
      <c r="C239" s="54" t="s">
        <v>211</v>
      </c>
      <c r="D239" s="10"/>
      <c r="E239" s="10"/>
      <c r="F239" s="10"/>
      <c r="G239" s="10"/>
      <c r="H239" s="10"/>
      <c r="I239" s="53"/>
      <c r="J239" s="10"/>
      <c r="K239" s="10"/>
      <c r="L239" s="10"/>
      <c r="M239" s="10"/>
    </row>
    <row r="240" spans="1:13" ht="15.6" x14ac:dyDescent="0.3">
      <c r="A240" s="9">
        <v>796</v>
      </c>
      <c r="B240" s="18">
        <v>1</v>
      </c>
      <c r="C240" s="21" t="s">
        <v>424</v>
      </c>
      <c r="D240" s="22" t="s">
        <v>425</v>
      </c>
      <c r="E240" s="22">
        <v>0.88</v>
      </c>
      <c r="F240" s="22">
        <v>3.49</v>
      </c>
      <c r="G240" s="22">
        <v>0</v>
      </c>
      <c r="H240" s="22">
        <v>0</v>
      </c>
      <c r="I240" s="23">
        <v>3.49</v>
      </c>
      <c r="J240" s="22">
        <v>3.49</v>
      </c>
      <c r="K240" s="22">
        <v>25.04</v>
      </c>
      <c r="L240" s="22">
        <v>25.04</v>
      </c>
      <c r="M240" s="22">
        <v>8.0000000000000002E-3</v>
      </c>
    </row>
    <row r="241" spans="1:13" ht="15.6" x14ac:dyDescent="0.3">
      <c r="A241" s="9">
        <v>797</v>
      </c>
      <c r="B241" s="18">
        <v>2</v>
      </c>
      <c r="C241" s="21" t="s">
        <v>426</v>
      </c>
      <c r="D241" s="22">
        <v>2800</v>
      </c>
      <c r="E241" s="22">
        <v>0.88</v>
      </c>
      <c r="F241" s="22">
        <v>2.91</v>
      </c>
      <c r="G241" s="22">
        <v>0</v>
      </c>
      <c r="H241" s="22">
        <v>0</v>
      </c>
      <c r="I241" s="23">
        <v>2.91</v>
      </c>
      <c r="J241" s="22">
        <v>2.91</v>
      </c>
      <c r="K241" s="22">
        <v>22.86</v>
      </c>
      <c r="L241" s="22">
        <v>22.86</v>
      </c>
      <c r="M241" s="22">
        <v>8.0000000000000002E-3</v>
      </c>
    </row>
    <row r="242" spans="1:13" ht="15.6" x14ac:dyDescent="0.3">
      <c r="A242" s="9">
        <v>798</v>
      </c>
      <c r="B242" s="18">
        <v>3</v>
      </c>
      <c r="C242" s="21" t="s">
        <v>427</v>
      </c>
      <c r="D242" s="22">
        <v>1600</v>
      </c>
      <c r="E242" s="22">
        <v>0.88</v>
      </c>
      <c r="F242" s="22">
        <v>0.57999999999999996</v>
      </c>
      <c r="G242" s="22">
        <v>2</v>
      </c>
      <c r="H242" s="22">
        <v>3</v>
      </c>
      <c r="I242" s="23">
        <v>0.73</v>
      </c>
      <c r="J242" s="22">
        <v>0.81</v>
      </c>
      <c r="K242" s="22">
        <v>9.06</v>
      </c>
      <c r="L242" s="22">
        <v>9.75</v>
      </c>
      <c r="M242" s="22">
        <v>0.09</v>
      </c>
    </row>
    <row r="243" spans="1:13" ht="15.6" x14ac:dyDescent="0.3">
      <c r="A243" s="9">
        <v>799</v>
      </c>
      <c r="B243" s="18">
        <v>4</v>
      </c>
      <c r="C243" s="21" t="s">
        <v>428</v>
      </c>
      <c r="D243" s="22">
        <v>1800</v>
      </c>
      <c r="E243" s="22">
        <v>0.88</v>
      </c>
      <c r="F243" s="22">
        <v>0.7</v>
      </c>
      <c r="G243" s="22">
        <v>2</v>
      </c>
      <c r="H243" s="22">
        <v>3</v>
      </c>
      <c r="I243" s="23">
        <v>0.93</v>
      </c>
      <c r="J243" s="22">
        <v>1.05</v>
      </c>
      <c r="K243" s="22">
        <v>10.85</v>
      </c>
      <c r="L243" s="22">
        <v>11.77</v>
      </c>
      <c r="M243" s="22">
        <v>7.4999999999999997E-2</v>
      </c>
    </row>
    <row r="244" spans="1:13" ht="15.6" x14ac:dyDescent="0.3">
      <c r="A244" s="9">
        <v>800</v>
      </c>
      <c r="B244" s="18">
        <v>5</v>
      </c>
      <c r="C244" s="21" t="s">
        <v>429</v>
      </c>
      <c r="D244" s="22">
        <v>2000</v>
      </c>
      <c r="E244" s="22">
        <v>0.88</v>
      </c>
      <c r="F244" s="22">
        <v>0.93</v>
      </c>
      <c r="G244" s="22">
        <v>2</v>
      </c>
      <c r="H244" s="22">
        <v>3</v>
      </c>
      <c r="I244" s="23">
        <v>1.1599999999999999</v>
      </c>
      <c r="J244" s="22">
        <v>1.28</v>
      </c>
      <c r="K244" s="22">
        <v>12.77</v>
      </c>
      <c r="L244" s="22">
        <v>13.7</v>
      </c>
      <c r="M244" s="22">
        <v>0.06</v>
      </c>
    </row>
    <row r="245" spans="1:13" ht="15.6" x14ac:dyDescent="0.3">
      <c r="A245" s="9">
        <v>801</v>
      </c>
      <c r="B245" s="18">
        <v>6</v>
      </c>
      <c r="C245" s="21" t="s">
        <v>430</v>
      </c>
      <c r="D245" s="22">
        <v>1000</v>
      </c>
      <c r="E245" s="22">
        <v>0.88</v>
      </c>
      <c r="F245" s="22">
        <v>0.21</v>
      </c>
      <c r="G245" s="22">
        <v>3</v>
      </c>
      <c r="H245" s="22">
        <v>5</v>
      </c>
      <c r="I245" s="23">
        <v>0.24</v>
      </c>
      <c r="J245" s="22">
        <v>0.28999999999999998</v>
      </c>
      <c r="K245" s="22">
        <v>4.2</v>
      </c>
      <c r="L245" s="22">
        <v>4.8</v>
      </c>
      <c r="M245" s="22">
        <v>0.11</v>
      </c>
    </row>
    <row r="246" spans="1:13" ht="15.6" x14ac:dyDescent="0.3">
      <c r="A246" s="9">
        <v>802</v>
      </c>
      <c r="B246" s="18">
        <v>7</v>
      </c>
      <c r="C246" s="21" t="s">
        <v>431</v>
      </c>
      <c r="D246" s="22">
        <v>1200</v>
      </c>
      <c r="E246" s="22">
        <v>0.88</v>
      </c>
      <c r="F246" s="22">
        <v>0.27</v>
      </c>
      <c r="G246" s="22">
        <v>3</v>
      </c>
      <c r="H246" s="22">
        <v>5</v>
      </c>
      <c r="I246" s="23">
        <v>0.35</v>
      </c>
      <c r="J246" s="22">
        <v>0.41</v>
      </c>
      <c r="K246" s="22">
        <v>5.55</v>
      </c>
      <c r="L246" s="22">
        <v>6.25</v>
      </c>
      <c r="M246" s="22">
        <v>0.11</v>
      </c>
    </row>
    <row r="247" spans="1:13" ht="15.6" x14ac:dyDescent="0.3">
      <c r="A247" s="9">
        <v>803</v>
      </c>
      <c r="B247" s="18">
        <v>8</v>
      </c>
      <c r="C247" s="21" t="s">
        <v>432</v>
      </c>
      <c r="D247" s="22">
        <v>1400</v>
      </c>
      <c r="E247" s="22">
        <v>0.88</v>
      </c>
      <c r="F247" s="22">
        <v>0.33</v>
      </c>
      <c r="G247" s="22">
        <v>3</v>
      </c>
      <c r="H247" s="22">
        <v>5</v>
      </c>
      <c r="I247" s="23">
        <v>0.43</v>
      </c>
      <c r="J247" s="22">
        <v>0.52</v>
      </c>
      <c r="K247" s="22">
        <v>6.64</v>
      </c>
      <c r="L247" s="22">
        <v>7.6</v>
      </c>
      <c r="M247" s="22">
        <v>9.8000000000000004E-2</v>
      </c>
    </row>
    <row r="248" spans="1:13" ht="15.6" x14ac:dyDescent="0.3">
      <c r="A248" s="9">
        <v>804</v>
      </c>
      <c r="B248" s="18">
        <v>9</v>
      </c>
      <c r="C248" s="21" t="s">
        <v>433</v>
      </c>
      <c r="D248" s="22">
        <v>1600</v>
      </c>
      <c r="E248" s="22">
        <v>0.88</v>
      </c>
      <c r="F248" s="22">
        <v>0.41</v>
      </c>
      <c r="G248" s="22">
        <v>3</v>
      </c>
      <c r="H248" s="22">
        <v>5</v>
      </c>
      <c r="I248" s="23">
        <v>0.52</v>
      </c>
      <c r="J248" s="22">
        <v>0.64</v>
      </c>
      <c r="K248" s="22">
        <v>7.81</v>
      </c>
      <c r="L248" s="22">
        <v>9.02</v>
      </c>
      <c r="M248" s="22">
        <v>0.09</v>
      </c>
    </row>
    <row r="249" spans="1:13" ht="15.6" x14ac:dyDescent="0.3">
      <c r="A249" s="9">
        <v>805</v>
      </c>
      <c r="B249" s="18">
        <v>10</v>
      </c>
      <c r="C249" s="21" t="s">
        <v>434</v>
      </c>
      <c r="D249" s="22">
        <v>1800</v>
      </c>
      <c r="E249" s="22">
        <v>0.88</v>
      </c>
      <c r="F249" s="22">
        <v>0.56000000000000005</v>
      </c>
      <c r="G249" s="22">
        <v>3</v>
      </c>
      <c r="H249" s="22">
        <v>5</v>
      </c>
      <c r="I249" s="23">
        <v>0.7</v>
      </c>
      <c r="J249" s="22">
        <v>0.81</v>
      </c>
      <c r="K249" s="22">
        <v>9.61</v>
      </c>
      <c r="L249" s="22">
        <v>10.76</v>
      </c>
      <c r="M249" s="22">
        <v>8.3000000000000004E-2</v>
      </c>
    </row>
    <row r="250" spans="1:13" ht="15.6" x14ac:dyDescent="0.3">
      <c r="A250" s="9">
        <v>806</v>
      </c>
      <c r="B250" s="18">
        <v>11</v>
      </c>
      <c r="C250" s="21" t="s">
        <v>435</v>
      </c>
      <c r="D250" s="22">
        <v>2000</v>
      </c>
      <c r="E250" s="22">
        <v>0.88</v>
      </c>
      <c r="F250" s="22">
        <v>0.76</v>
      </c>
      <c r="G250" s="22">
        <v>3</v>
      </c>
      <c r="H250" s="22">
        <v>5</v>
      </c>
      <c r="I250" s="23">
        <v>0.93</v>
      </c>
      <c r="J250" s="22">
        <v>1.05</v>
      </c>
      <c r="K250" s="22">
        <v>11.68</v>
      </c>
      <c r="L250" s="22">
        <v>12.92</v>
      </c>
      <c r="M250" s="22">
        <v>7.4999999999999997E-2</v>
      </c>
    </row>
    <row r="251" spans="1:13" ht="15.6" x14ac:dyDescent="0.3">
      <c r="A251" s="9">
        <v>807</v>
      </c>
      <c r="B251" s="18">
        <v>12</v>
      </c>
      <c r="C251" s="21" t="s">
        <v>436</v>
      </c>
      <c r="D251" s="22">
        <v>2000</v>
      </c>
      <c r="E251" s="22">
        <v>0.88</v>
      </c>
      <c r="F251" s="22">
        <v>0.89</v>
      </c>
      <c r="G251" s="22">
        <v>3</v>
      </c>
      <c r="H251" s="22">
        <v>5</v>
      </c>
      <c r="I251" s="23">
        <v>0.96</v>
      </c>
      <c r="J251" s="22">
        <v>1.1000000000000001</v>
      </c>
      <c r="K251" s="22">
        <v>11.63</v>
      </c>
      <c r="L251" s="22">
        <v>12.55</v>
      </c>
      <c r="M251" s="22">
        <v>0.06</v>
      </c>
    </row>
    <row r="252" spans="1:13" ht="15.6" x14ac:dyDescent="0.3">
      <c r="A252" s="9">
        <v>808</v>
      </c>
      <c r="B252" s="18">
        <v>13</v>
      </c>
      <c r="C252" s="21" t="s">
        <v>241</v>
      </c>
      <c r="D252" s="22"/>
      <c r="E252" s="22"/>
      <c r="F252" s="22"/>
      <c r="G252" s="22"/>
      <c r="H252" s="22"/>
      <c r="I252" s="23">
        <v>1</v>
      </c>
      <c r="J252" s="22">
        <v>1</v>
      </c>
      <c r="K252" s="22"/>
      <c r="L252" s="22"/>
      <c r="M252" s="22">
        <v>1</v>
      </c>
    </row>
    <row r="253" spans="1:13" ht="15.6" x14ac:dyDescent="0.3">
      <c r="A253" s="9">
        <v>848</v>
      </c>
      <c r="C253" s="54" t="s">
        <v>207</v>
      </c>
      <c r="D253" s="10"/>
      <c r="E253" s="10"/>
      <c r="F253" s="10"/>
      <c r="G253" s="10"/>
      <c r="H253" s="10"/>
      <c r="I253" s="53"/>
      <c r="J253" s="10"/>
      <c r="K253" s="10"/>
      <c r="L253" s="10"/>
      <c r="M253" s="10"/>
    </row>
    <row r="254" spans="1:13" ht="15.6" x14ac:dyDescent="0.3">
      <c r="A254" s="9">
        <v>849</v>
      </c>
      <c r="B254" s="18">
        <v>1</v>
      </c>
      <c r="C254" s="21" t="s">
        <v>437</v>
      </c>
      <c r="D254" s="22">
        <v>1800</v>
      </c>
      <c r="E254" s="22">
        <v>0.88</v>
      </c>
      <c r="F254" s="22">
        <v>0.56000000000000005</v>
      </c>
      <c r="G254" s="22">
        <v>1</v>
      </c>
      <c r="H254" s="22">
        <v>2</v>
      </c>
      <c r="I254" s="23">
        <v>0.7</v>
      </c>
      <c r="J254" s="22">
        <v>0.81</v>
      </c>
      <c r="K254" s="22">
        <v>9.1999999999999993</v>
      </c>
      <c r="L254" s="22">
        <v>10.119999999999999</v>
      </c>
      <c r="M254" s="22">
        <v>0.11</v>
      </c>
    </row>
    <row r="255" spans="1:13" ht="15.6" x14ac:dyDescent="0.3">
      <c r="A255" s="9">
        <v>850</v>
      </c>
      <c r="B255" s="18">
        <v>2</v>
      </c>
      <c r="C255" s="21" t="s">
        <v>438</v>
      </c>
      <c r="D255" s="22">
        <v>1700</v>
      </c>
      <c r="E255" s="22">
        <v>0.88</v>
      </c>
      <c r="F255" s="22">
        <v>0.52</v>
      </c>
      <c r="G255" s="22">
        <v>1.5</v>
      </c>
      <c r="H255" s="22">
        <v>3</v>
      </c>
      <c r="I255" s="23">
        <v>0.64</v>
      </c>
      <c r="J255" s="22">
        <v>0.76</v>
      </c>
      <c r="K255" s="22">
        <v>8.64</v>
      </c>
      <c r="L255" s="22">
        <v>9.6999999999999993</v>
      </c>
      <c r="M255" s="22">
        <v>0.12</v>
      </c>
    </row>
    <row r="256" spans="1:13" ht="15.6" x14ac:dyDescent="0.3">
      <c r="A256" s="9">
        <v>851</v>
      </c>
      <c r="B256" s="18">
        <v>3</v>
      </c>
      <c r="C256" s="21" t="s">
        <v>439</v>
      </c>
      <c r="D256" s="22">
        <v>1600</v>
      </c>
      <c r="E256" s="22">
        <v>0.88</v>
      </c>
      <c r="F256" s="22">
        <v>0.47</v>
      </c>
      <c r="G256" s="22">
        <v>2</v>
      </c>
      <c r="H256" s="22">
        <v>4</v>
      </c>
      <c r="I256" s="23">
        <v>0.57999999999999996</v>
      </c>
      <c r="J256" s="22">
        <v>0.7</v>
      </c>
      <c r="K256" s="22">
        <v>8.08</v>
      </c>
      <c r="L256" s="22">
        <v>9.23</v>
      </c>
      <c r="M256" s="22">
        <v>0.15</v>
      </c>
    </row>
    <row r="257" spans="1:13" ht="15.6" x14ac:dyDescent="0.3">
      <c r="A257" s="9">
        <v>852</v>
      </c>
      <c r="B257" s="18">
        <v>4</v>
      </c>
      <c r="C257" s="21" t="s">
        <v>440</v>
      </c>
      <c r="D257" s="22">
        <v>1800</v>
      </c>
      <c r="E257" s="22">
        <v>0.88</v>
      </c>
      <c r="F257" s="22">
        <v>0.7</v>
      </c>
      <c r="G257" s="22">
        <v>2</v>
      </c>
      <c r="H257" s="22">
        <v>4</v>
      </c>
      <c r="I257" s="23">
        <v>0.76</v>
      </c>
      <c r="J257" s="22">
        <v>0.87</v>
      </c>
      <c r="K257" s="22">
        <v>9.77</v>
      </c>
      <c r="L257" s="22">
        <v>10.9</v>
      </c>
      <c r="M257" s="22">
        <v>0.11</v>
      </c>
    </row>
    <row r="258" spans="1:13" ht="15.6" x14ac:dyDescent="0.3">
      <c r="A258" s="9">
        <v>853</v>
      </c>
      <c r="B258" s="18">
        <v>5</v>
      </c>
      <c r="C258" s="21" t="s">
        <v>441</v>
      </c>
      <c r="D258" s="22">
        <v>1000</v>
      </c>
      <c r="E258" s="22">
        <v>0.88</v>
      </c>
      <c r="F258" s="22">
        <v>0.28999999999999998</v>
      </c>
      <c r="G258" s="22">
        <v>2</v>
      </c>
      <c r="H258" s="22">
        <v>4</v>
      </c>
      <c r="I258" s="23">
        <v>0.41</v>
      </c>
      <c r="J258" s="22">
        <v>0.47</v>
      </c>
      <c r="K258" s="22">
        <v>5.35</v>
      </c>
      <c r="L258" s="22">
        <v>5.96</v>
      </c>
      <c r="M258" s="22">
        <v>0.23</v>
      </c>
    </row>
    <row r="259" spans="1:13" ht="15.6" x14ac:dyDescent="0.3">
      <c r="A259" s="9">
        <v>854</v>
      </c>
      <c r="B259" s="18">
        <v>6</v>
      </c>
      <c r="C259" s="21" t="s">
        <v>442</v>
      </c>
      <c r="D259" s="22">
        <v>1200</v>
      </c>
      <c r="E259" s="22">
        <v>0.88</v>
      </c>
      <c r="F259" s="22">
        <v>0.35</v>
      </c>
      <c r="G259" s="22">
        <v>2</v>
      </c>
      <c r="H259" s="22">
        <v>4</v>
      </c>
      <c r="I259" s="23">
        <v>0.47</v>
      </c>
      <c r="J259" s="22">
        <v>0.52</v>
      </c>
      <c r="K259" s="22">
        <v>6.26</v>
      </c>
      <c r="L259" s="22">
        <v>6.49</v>
      </c>
      <c r="M259" s="22">
        <v>0.19</v>
      </c>
    </row>
    <row r="260" spans="1:13" ht="15.6" x14ac:dyDescent="0.3">
      <c r="A260" s="9">
        <v>855</v>
      </c>
      <c r="B260" s="18">
        <v>7</v>
      </c>
      <c r="C260" s="21" t="s">
        <v>443</v>
      </c>
      <c r="D260" s="22">
        <v>1500</v>
      </c>
      <c r="E260" s="22">
        <v>0.88</v>
      </c>
      <c r="F260" s="22">
        <v>0.52</v>
      </c>
      <c r="G260" s="22">
        <v>1.5</v>
      </c>
      <c r="H260" s="22">
        <v>3</v>
      </c>
      <c r="I260" s="23">
        <v>0.64</v>
      </c>
      <c r="J260" s="22">
        <v>0.7</v>
      </c>
      <c r="K260" s="22">
        <v>8.1199999999999992</v>
      </c>
      <c r="L260" s="22">
        <v>8.76</v>
      </c>
      <c r="M260" s="22">
        <v>0.11</v>
      </c>
    </row>
    <row r="261" spans="1:13" ht="15.6" x14ac:dyDescent="0.3">
      <c r="A261" s="9">
        <v>856</v>
      </c>
      <c r="B261" s="18">
        <v>8</v>
      </c>
      <c r="C261" s="21" t="s">
        <v>241</v>
      </c>
      <c r="D261" s="22"/>
      <c r="E261" s="22"/>
      <c r="F261" s="22"/>
      <c r="G261" s="22"/>
      <c r="H261" s="22"/>
      <c r="I261" s="23">
        <v>1</v>
      </c>
      <c r="J261" s="22">
        <v>1</v>
      </c>
      <c r="K261" s="22"/>
      <c r="L261" s="22"/>
      <c r="M261" s="22">
        <v>1</v>
      </c>
    </row>
    <row r="262" spans="1:13" ht="15.6" x14ac:dyDescent="0.3">
      <c r="A262" s="9">
        <v>901</v>
      </c>
      <c r="C262" s="54" t="s">
        <v>238</v>
      </c>
      <c r="D262" s="10"/>
      <c r="E262" s="10"/>
      <c r="F262" s="10"/>
      <c r="G262" s="10"/>
      <c r="H262" s="10"/>
      <c r="I262" s="53"/>
      <c r="J262" s="10"/>
      <c r="K262" s="10"/>
      <c r="L262" s="10"/>
      <c r="M262" s="10"/>
    </row>
    <row r="263" spans="1:13" ht="15.6" x14ac:dyDescent="0.3">
      <c r="A263" s="9">
        <v>902</v>
      </c>
      <c r="B263" s="18">
        <v>1</v>
      </c>
      <c r="C263" s="21" t="s">
        <v>444</v>
      </c>
      <c r="D263" s="22">
        <v>1600</v>
      </c>
      <c r="E263" s="22">
        <v>0.84</v>
      </c>
      <c r="F263" s="22">
        <v>0.23</v>
      </c>
      <c r="G263" s="22">
        <v>2</v>
      </c>
      <c r="H263" s="22">
        <v>3</v>
      </c>
      <c r="I263" s="23">
        <v>0.35</v>
      </c>
      <c r="J263" s="22">
        <v>0.41</v>
      </c>
      <c r="K263" s="22">
        <v>6.14</v>
      </c>
      <c r="L263" s="22">
        <v>6.8</v>
      </c>
      <c r="M263" s="22">
        <v>0.03</v>
      </c>
    </row>
    <row r="264" spans="1:13" ht="15.6" x14ac:dyDescent="0.3">
      <c r="A264" s="9">
        <v>903</v>
      </c>
      <c r="B264" s="18">
        <v>2</v>
      </c>
      <c r="C264" s="21" t="s">
        <v>445</v>
      </c>
      <c r="D264" s="22">
        <v>1800</v>
      </c>
      <c r="E264" s="22">
        <v>0.84</v>
      </c>
      <c r="F264" s="22">
        <v>0.35</v>
      </c>
      <c r="G264" s="22">
        <v>2</v>
      </c>
      <c r="H264" s="22">
        <v>3</v>
      </c>
      <c r="I264" s="23">
        <v>0.47</v>
      </c>
      <c r="J264" s="22">
        <v>0.52</v>
      </c>
      <c r="K264" s="22">
        <v>7.55</v>
      </c>
      <c r="L264" s="22">
        <v>8.1199999999999992</v>
      </c>
      <c r="M264" s="22">
        <v>0.03</v>
      </c>
    </row>
    <row r="265" spans="1:13" ht="15.6" x14ac:dyDescent="0.3">
      <c r="A265" s="9">
        <v>904</v>
      </c>
      <c r="B265" s="18">
        <v>3</v>
      </c>
      <c r="C265" s="21" t="s">
        <v>446</v>
      </c>
      <c r="D265" s="22">
        <v>1000</v>
      </c>
      <c r="E265" s="22">
        <v>1.68</v>
      </c>
      <c r="F265" s="22">
        <v>0.17</v>
      </c>
      <c r="G265" s="22">
        <v>0</v>
      </c>
      <c r="H265" s="22">
        <v>0</v>
      </c>
      <c r="I265" s="23">
        <v>0.17</v>
      </c>
      <c r="J265" s="22">
        <v>0.17</v>
      </c>
      <c r="K265" s="22">
        <v>4.5599999999999996</v>
      </c>
      <c r="L265" s="22">
        <v>4.5599999999999996</v>
      </c>
      <c r="M265" s="22">
        <v>8.0000000000000002E-3</v>
      </c>
    </row>
    <row r="266" spans="1:13" ht="15.6" x14ac:dyDescent="0.3">
      <c r="A266" s="9">
        <v>905</v>
      </c>
      <c r="B266" s="18">
        <v>4</v>
      </c>
      <c r="C266" s="21" t="s">
        <v>447</v>
      </c>
      <c r="D266" s="22">
        <v>1200</v>
      </c>
      <c r="E266" s="22">
        <v>1.68</v>
      </c>
      <c r="F266" s="22">
        <v>0.22</v>
      </c>
      <c r="G266" s="22">
        <v>0</v>
      </c>
      <c r="H266" s="22">
        <v>0</v>
      </c>
      <c r="I266" s="23">
        <v>0.22</v>
      </c>
      <c r="J266" s="22">
        <v>0.22</v>
      </c>
      <c r="K266" s="22">
        <v>5.69</v>
      </c>
      <c r="L266" s="22">
        <v>5.69</v>
      </c>
      <c r="M266" s="22">
        <v>8.0000000000000002E-3</v>
      </c>
    </row>
    <row r="267" spans="1:13" ht="15.6" x14ac:dyDescent="0.3">
      <c r="A267" s="9">
        <v>906</v>
      </c>
      <c r="B267" s="18">
        <v>5</v>
      </c>
      <c r="C267" s="21" t="s">
        <v>448</v>
      </c>
      <c r="D267" s="22">
        <v>1400</v>
      </c>
      <c r="E267" s="22">
        <v>1.68</v>
      </c>
      <c r="F267" s="22">
        <v>0.27</v>
      </c>
      <c r="G267" s="22">
        <v>0</v>
      </c>
      <c r="H267" s="22">
        <v>0</v>
      </c>
      <c r="I267" s="23">
        <v>0.27</v>
      </c>
      <c r="J267" s="22">
        <v>0.27</v>
      </c>
      <c r="K267" s="22">
        <v>6.8</v>
      </c>
      <c r="L267" s="22">
        <v>6.8</v>
      </c>
      <c r="M267" s="22">
        <v>8.0000000000000002E-3</v>
      </c>
    </row>
    <row r="268" spans="1:13" ht="15.6" x14ac:dyDescent="0.3">
      <c r="A268" s="9">
        <v>907</v>
      </c>
      <c r="B268" s="18">
        <v>6</v>
      </c>
      <c r="C268" s="21" t="s">
        <v>449</v>
      </c>
      <c r="D268" s="22">
        <v>2100</v>
      </c>
      <c r="E268" s="22">
        <v>1.68</v>
      </c>
      <c r="F268" s="22">
        <v>1.05</v>
      </c>
      <c r="G268" s="22">
        <v>0</v>
      </c>
      <c r="H268" s="22">
        <v>0</v>
      </c>
      <c r="I268" s="23">
        <v>1.05</v>
      </c>
      <c r="J268" s="22">
        <v>1.05</v>
      </c>
      <c r="K268" s="22">
        <v>16.43</v>
      </c>
      <c r="L268" s="22">
        <v>16.43</v>
      </c>
      <c r="M268" s="22">
        <v>8.0000000000000002E-3</v>
      </c>
    </row>
    <row r="269" spans="1:13" ht="15.6" x14ac:dyDescent="0.3">
      <c r="A269" s="9">
        <v>908</v>
      </c>
      <c r="B269" s="18">
        <v>7</v>
      </c>
      <c r="C269" s="21" t="s">
        <v>450</v>
      </c>
      <c r="D269" s="22">
        <v>600</v>
      </c>
      <c r="E269" s="22">
        <v>1.68</v>
      </c>
      <c r="F269" s="22">
        <v>0.17</v>
      </c>
      <c r="G269" s="22">
        <v>0</v>
      </c>
      <c r="H269" s="22">
        <v>0</v>
      </c>
      <c r="I269" s="23">
        <v>0.17</v>
      </c>
      <c r="J269" s="22">
        <v>0.17</v>
      </c>
      <c r="K269" s="22">
        <v>3.53</v>
      </c>
      <c r="L269" s="22">
        <v>3.53</v>
      </c>
      <c r="M269" s="22" t="s">
        <v>451</v>
      </c>
    </row>
    <row r="270" spans="1:13" ht="15.6" x14ac:dyDescent="0.3">
      <c r="A270" s="9">
        <v>909</v>
      </c>
      <c r="B270" s="18">
        <v>8</v>
      </c>
      <c r="C270" s="21" t="s">
        <v>452</v>
      </c>
      <c r="D270" s="22">
        <v>1600</v>
      </c>
      <c r="E270" s="22">
        <v>1.47</v>
      </c>
      <c r="F270" s="22">
        <v>0.33</v>
      </c>
      <c r="G270" s="22">
        <v>0</v>
      </c>
      <c r="H270" s="22">
        <v>0</v>
      </c>
      <c r="I270" s="23">
        <v>0.33</v>
      </c>
      <c r="J270" s="22">
        <v>0.33</v>
      </c>
      <c r="K270" s="22">
        <v>7.52</v>
      </c>
      <c r="L270" s="22">
        <v>7.52</v>
      </c>
      <c r="M270" s="22">
        <v>2E-3</v>
      </c>
    </row>
    <row r="271" spans="1:13" ht="15.6" x14ac:dyDescent="0.3">
      <c r="A271" s="9">
        <v>910</v>
      </c>
      <c r="B271" s="18">
        <v>9</v>
      </c>
      <c r="C271" s="21" t="s">
        <v>453</v>
      </c>
      <c r="D271" s="22">
        <v>1800</v>
      </c>
      <c r="E271" s="22">
        <v>1.47</v>
      </c>
      <c r="F271" s="22">
        <v>0.38</v>
      </c>
      <c r="G271" s="22">
        <v>0</v>
      </c>
      <c r="H271" s="22">
        <v>0</v>
      </c>
      <c r="I271" s="23">
        <v>0.38</v>
      </c>
      <c r="J271" s="22">
        <v>0.38</v>
      </c>
      <c r="K271" s="22">
        <v>8.56</v>
      </c>
      <c r="L271" s="22">
        <v>8.56</v>
      </c>
      <c r="M271" s="22">
        <v>2E-3</v>
      </c>
    </row>
    <row r="272" spans="1:13" ht="15.6" x14ac:dyDescent="0.3">
      <c r="A272" s="9">
        <v>911</v>
      </c>
      <c r="B272" s="18">
        <v>10</v>
      </c>
      <c r="C272" s="21" t="s">
        <v>454</v>
      </c>
      <c r="D272" s="22">
        <v>1400</v>
      </c>
      <c r="E272" s="22">
        <v>1.47</v>
      </c>
      <c r="F272" s="22">
        <v>0.23</v>
      </c>
      <c r="G272" s="22">
        <v>0</v>
      </c>
      <c r="H272" s="22">
        <v>0</v>
      </c>
      <c r="I272" s="23">
        <v>0.23</v>
      </c>
      <c r="J272" s="22">
        <v>0.23</v>
      </c>
      <c r="K272" s="22">
        <v>5.87</v>
      </c>
      <c r="L272" s="22">
        <v>5.87</v>
      </c>
      <c r="M272" s="22">
        <v>2E-3</v>
      </c>
    </row>
    <row r="273" spans="1:13" ht="15.6" x14ac:dyDescent="0.3">
      <c r="A273" s="9">
        <v>912</v>
      </c>
      <c r="B273" s="18">
        <v>11</v>
      </c>
      <c r="C273" s="21" t="s">
        <v>455</v>
      </c>
      <c r="D273" s="22">
        <v>1600</v>
      </c>
      <c r="E273" s="22">
        <v>1.47</v>
      </c>
      <c r="F273" s="22">
        <v>0.28999999999999998</v>
      </c>
      <c r="G273" s="22">
        <v>0</v>
      </c>
      <c r="H273" s="22">
        <v>0</v>
      </c>
      <c r="I273" s="23">
        <v>0.28999999999999998</v>
      </c>
      <c r="J273" s="22">
        <v>0.28999999999999998</v>
      </c>
      <c r="K273" s="22">
        <v>7.05</v>
      </c>
      <c r="L273" s="22">
        <v>7.05</v>
      </c>
      <c r="M273" s="22">
        <v>2E-3</v>
      </c>
    </row>
    <row r="274" spans="1:13" ht="15.6" x14ac:dyDescent="0.3">
      <c r="A274" s="9">
        <v>913</v>
      </c>
      <c r="B274" s="18">
        <v>12</v>
      </c>
      <c r="C274" s="21" t="s">
        <v>456</v>
      </c>
      <c r="D274" s="22">
        <v>800</v>
      </c>
      <c r="E274" s="22">
        <v>1.47</v>
      </c>
      <c r="F274" s="22">
        <v>0.17</v>
      </c>
      <c r="G274" s="22">
        <v>0</v>
      </c>
      <c r="H274" s="22">
        <v>0</v>
      </c>
      <c r="I274" s="23">
        <v>0.17</v>
      </c>
      <c r="J274" s="22">
        <v>0.17</v>
      </c>
      <c r="K274" s="22">
        <v>3.32</v>
      </c>
      <c r="L274" s="22">
        <v>3.32</v>
      </c>
      <c r="M274" s="22">
        <v>2E-3</v>
      </c>
    </row>
    <row r="275" spans="1:13" ht="15.6" x14ac:dyDescent="0.3">
      <c r="A275" s="9">
        <v>914</v>
      </c>
      <c r="B275" s="18">
        <v>13</v>
      </c>
      <c r="C275" s="21" t="s">
        <v>457</v>
      </c>
      <c r="D275" s="22">
        <v>1200</v>
      </c>
      <c r="E275" s="22">
        <v>1.47</v>
      </c>
      <c r="F275" s="22">
        <v>0.21</v>
      </c>
      <c r="G275" s="22">
        <v>0</v>
      </c>
      <c r="H275" s="22">
        <v>0</v>
      </c>
      <c r="I275" s="23">
        <v>0.21</v>
      </c>
      <c r="J275" s="22">
        <v>0.21</v>
      </c>
      <c r="K275" s="22">
        <v>4.51</v>
      </c>
      <c r="L275" s="22">
        <v>4.51</v>
      </c>
      <c r="M275" s="22">
        <v>0.02</v>
      </c>
    </row>
    <row r="276" spans="1:13" ht="15.6" x14ac:dyDescent="0.3">
      <c r="A276" s="9">
        <v>915</v>
      </c>
      <c r="B276" s="18">
        <v>14</v>
      </c>
      <c r="C276" s="21" t="s">
        <v>241</v>
      </c>
      <c r="D276" s="22"/>
      <c r="E276" s="22"/>
      <c r="F276" s="22"/>
      <c r="G276" s="22"/>
      <c r="H276" s="22"/>
      <c r="I276" s="23">
        <v>1</v>
      </c>
      <c r="J276" s="22">
        <v>1</v>
      </c>
      <c r="K276" s="22"/>
      <c r="L276" s="22"/>
      <c r="M276" s="22">
        <v>1</v>
      </c>
    </row>
    <row r="277" spans="1:13" ht="15.6" x14ac:dyDescent="0.3">
      <c r="A277" s="9">
        <v>954</v>
      </c>
      <c r="C277" s="54" t="s">
        <v>212</v>
      </c>
      <c r="D277" s="10"/>
      <c r="E277" s="10"/>
      <c r="F277" s="10"/>
      <c r="G277" s="10"/>
      <c r="H277" s="10"/>
      <c r="I277" s="53"/>
      <c r="J277" s="10"/>
      <c r="K277" s="10"/>
      <c r="L277" s="10"/>
      <c r="M277" s="10"/>
    </row>
    <row r="278" spans="1:13" ht="15.6" x14ac:dyDescent="0.3">
      <c r="A278" s="9">
        <v>955</v>
      </c>
      <c r="B278" s="18">
        <v>1</v>
      </c>
      <c r="C278" s="21" t="s">
        <v>458</v>
      </c>
      <c r="D278" s="22">
        <v>7850</v>
      </c>
      <c r="E278" s="22">
        <v>0.48199999999999998</v>
      </c>
      <c r="F278" s="22">
        <v>58</v>
      </c>
      <c r="G278" s="22">
        <v>0</v>
      </c>
      <c r="H278" s="22">
        <v>0</v>
      </c>
      <c r="I278" s="23">
        <v>58</v>
      </c>
      <c r="J278" s="22">
        <v>58</v>
      </c>
      <c r="K278" s="22">
        <v>126.5</v>
      </c>
      <c r="L278" s="22">
        <v>126.5</v>
      </c>
      <c r="M278" s="22">
        <v>0</v>
      </c>
    </row>
    <row r="279" spans="1:13" ht="15.6" x14ac:dyDescent="0.3">
      <c r="B279" s="18">
        <v>2</v>
      </c>
      <c r="C279" s="21" t="s">
        <v>459</v>
      </c>
      <c r="D279" s="22">
        <v>7200</v>
      </c>
      <c r="E279" s="22">
        <v>0.48199999999999998</v>
      </c>
      <c r="F279" s="22">
        <v>50</v>
      </c>
      <c r="G279" s="22">
        <v>0</v>
      </c>
      <c r="H279" s="22">
        <v>0</v>
      </c>
      <c r="I279" s="23">
        <v>50</v>
      </c>
      <c r="J279" s="22">
        <v>50</v>
      </c>
      <c r="K279" s="22">
        <v>112.5</v>
      </c>
      <c r="L279" s="22">
        <v>112.5</v>
      </c>
      <c r="M279" s="22">
        <v>0</v>
      </c>
    </row>
    <row r="280" spans="1:13" ht="15.6" x14ac:dyDescent="0.3">
      <c r="B280" s="18">
        <v>3</v>
      </c>
      <c r="C280" s="21" t="s">
        <v>460</v>
      </c>
      <c r="D280" s="22">
        <v>2600</v>
      </c>
      <c r="E280" s="22">
        <v>0.84</v>
      </c>
      <c r="F280" s="22">
        <v>221</v>
      </c>
      <c r="G280" s="22">
        <v>0</v>
      </c>
      <c r="H280" s="22">
        <v>0</v>
      </c>
      <c r="I280" s="23">
        <v>221</v>
      </c>
      <c r="J280" s="22">
        <v>221</v>
      </c>
      <c r="K280" s="22">
        <v>187.6</v>
      </c>
      <c r="L280" s="22">
        <v>187.6</v>
      </c>
      <c r="M280" s="22">
        <v>0</v>
      </c>
    </row>
    <row r="281" spans="1:13" ht="15.6" x14ac:dyDescent="0.3">
      <c r="B281" s="18">
        <v>4</v>
      </c>
      <c r="C281" s="21" t="s">
        <v>461</v>
      </c>
      <c r="D281" s="22">
        <v>8500</v>
      </c>
      <c r="E281" s="22">
        <v>0.42</v>
      </c>
      <c r="F281" s="22">
        <v>407</v>
      </c>
      <c r="G281" s="22">
        <v>0</v>
      </c>
      <c r="H281" s="22">
        <v>0</v>
      </c>
      <c r="I281" s="23">
        <v>407</v>
      </c>
      <c r="J281" s="22">
        <v>407</v>
      </c>
      <c r="K281" s="22">
        <v>326</v>
      </c>
      <c r="L281" s="22">
        <v>326</v>
      </c>
      <c r="M281" s="22">
        <v>0</v>
      </c>
    </row>
    <row r="282" spans="1:13" ht="15.6" x14ac:dyDescent="0.3">
      <c r="B282" s="18">
        <v>5</v>
      </c>
      <c r="C282" s="21" t="s">
        <v>462</v>
      </c>
      <c r="D282" s="22">
        <v>2500</v>
      </c>
      <c r="E282" s="22">
        <v>0.84</v>
      </c>
      <c r="F282" s="22">
        <v>0.76</v>
      </c>
      <c r="G282" s="22">
        <v>0</v>
      </c>
      <c r="H282" s="22">
        <v>0</v>
      </c>
      <c r="I282" s="23">
        <v>0.76</v>
      </c>
      <c r="J282" s="22">
        <v>0.76</v>
      </c>
      <c r="K282" s="22">
        <v>10.79</v>
      </c>
      <c r="L282" s="22">
        <v>10.79</v>
      </c>
      <c r="M282" s="22">
        <v>0</v>
      </c>
    </row>
    <row r="283" spans="1:13" ht="15.6" x14ac:dyDescent="0.3">
      <c r="B283" s="18">
        <v>6</v>
      </c>
      <c r="C283" s="49" t="s">
        <v>241</v>
      </c>
      <c r="D283" s="10"/>
      <c r="E283" s="10"/>
      <c r="F283" s="10"/>
      <c r="G283" s="10"/>
      <c r="H283" s="10"/>
      <c r="I283" s="23">
        <v>1</v>
      </c>
      <c r="J283" s="22">
        <v>1</v>
      </c>
      <c r="K283" s="22"/>
      <c r="L283" s="22"/>
      <c r="M283" s="22">
        <v>1</v>
      </c>
    </row>
    <row r="284" spans="1:13" ht="15.6" x14ac:dyDescent="0.3">
      <c r="I284" s="26"/>
      <c r="J284" s="24"/>
      <c r="K284" s="24"/>
      <c r="L284" s="24"/>
      <c r="M284" s="24"/>
    </row>
  </sheetData>
  <mergeCells count="6">
    <mergeCell ref="I3:J3"/>
    <mergeCell ref="K3:L3"/>
    <mergeCell ref="C2:C3"/>
    <mergeCell ref="D2:F2"/>
    <mergeCell ref="G2:H3"/>
    <mergeCell ref="I2:M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34"/>
  <sheetViews>
    <sheetView topLeftCell="A13" workbookViewId="0">
      <selection activeCell="F15" sqref="F15"/>
    </sheetView>
  </sheetViews>
  <sheetFormatPr defaultColWidth="9.109375" defaultRowHeight="16.2" x14ac:dyDescent="0.3"/>
  <cols>
    <col min="1" max="1" width="9.109375" style="1"/>
    <col min="2" max="2" width="23.33203125" style="1" bestFit="1" customWidth="1"/>
    <col min="3" max="3" width="16" style="1" customWidth="1"/>
    <col min="4" max="4" width="39.33203125" style="1" customWidth="1"/>
    <col min="5" max="6" width="20" style="1" customWidth="1"/>
    <col min="7" max="7" width="39.109375" style="1" customWidth="1"/>
    <col min="8" max="8" width="29.44140625" style="1" bestFit="1" customWidth="1"/>
    <col min="9" max="9" width="28.33203125" style="1" bestFit="1" customWidth="1"/>
    <col min="10" max="10" width="18.5546875" style="1" bestFit="1" customWidth="1"/>
    <col min="11" max="16384" width="9.109375" style="1"/>
  </cols>
  <sheetData>
    <row r="2" spans="2:10" x14ac:dyDescent="0.3">
      <c r="G2" s="89" t="s">
        <v>29</v>
      </c>
      <c r="H2" s="89"/>
      <c r="I2" s="89"/>
      <c r="J2" s="89"/>
    </row>
    <row r="3" spans="2:10" x14ac:dyDescent="0.3">
      <c r="B3" s="91" t="s">
        <v>22</v>
      </c>
      <c r="C3" s="91" t="s">
        <v>24</v>
      </c>
      <c r="D3" s="90" t="s">
        <v>213</v>
      </c>
      <c r="E3" s="90"/>
      <c r="G3" s="91" t="s">
        <v>30</v>
      </c>
      <c r="H3" s="91" t="s">
        <v>35</v>
      </c>
      <c r="I3" s="91" t="s">
        <v>36</v>
      </c>
      <c r="J3" s="91" t="s">
        <v>37</v>
      </c>
    </row>
    <row r="4" spans="2:10" ht="37.5" customHeight="1" x14ac:dyDescent="0.3">
      <c r="B4" s="92"/>
      <c r="C4" s="92"/>
      <c r="D4" s="2" t="s">
        <v>214</v>
      </c>
      <c r="E4" s="2"/>
      <c r="G4" s="92"/>
      <c r="H4" s="92"/>
      <c r="I4" s="92"/>
      <c r="J4" s="92"/>
    </row>
    <row r="5" spans="2:10" x14ac:dyDescent="0.3">
      <c r="B5" s="3" t="s">
        <v>21</v>
      </c>
      <c r="C5" s="2" t="s">
        <v>28</v>
      </c>
      <c r="D5" s="6">
        <v>6</v>
      </c>
      <c r="E5" s="6">
        <f>D5</f>
        <v>6</v>
      </c>
      <c r="G5" s="8" t="s">
        <v>87</v>
      </c>
      <c r="H5" s="2">
        <v>20</v>
      </c>
      <c r="I5" s="2">
        <v>55</v>
      </c>
      <c r="J5" s="2" t="s">
        <v>38</v>
      </c>
    </row>
    <row r="6" spans="2:10" x14ac:dyDescent="0.3">
      <c r="B6" s="3" t="s">
        <v>26</v>
      </c>
      <c r="C6" s="2" t="s">
        <v>28</v>
      </c>
      <c r="D6" s="6">
        <v>6</v>
      </c>
      <c r="E6" s="6">
        <f t="shared" ref="E6:E31" si="0">D6</f>
        <v>6</v>
      </c>
      <c r="G6" s="8" t="s">
        <v>31</v>
      </c>
      <c r="H6" s="2">
        <v>20</v>
      </c>
      <c r="I6" s="2" t="s">
        <v>32</v>
      </c>
      <c r="J6" s="2" t="s">
        <v>38</v>
      </c>
    </row>
    <row r="7" spans="2:10" ht="32.4" x14ac:dyDescent="0.3">
      <c r="B7" s="3" t="s">
        <v>25</v>
      </c>
      <c r="C7" s="2" t="s">
        <v>28</v>
      </c>
      <c r="D7" s="6">
        <v>6</v>
      </c>
      <c r="E7" s="6">
        <f t="shared" si="0"/>
        <v>6</v>
      </c>
      <c r="G7" s="8" t="s">
        <v>33</v>
      </c>
      <c r="H7" s="2">
        <v>21</v>
      </c>
      <c r="I7" s="2">
        <v>50</v>
      </c>
      <c r="J7" s="2" t="s">
        <v>38</v>
      </c>
    </row>
    <row r="8" spans="2:10" ht="16.5" customHeight="1" x14ac:dyDescent="0.3">
      <c r="B8" s="3" t="s">
        <v>23</v>
      </c>
      <c r="C8" s="2" t="s">
        <v>27</v>
      </c>
      <c r="D8" s="5">
        <v>7</v>
      </c>
      <c r="E8" s="6">
        <f t="shared" si="0"/>
        <v>7</v>
      </c>
      <c r="G8" s="8" t="s">
        <v>34</v>
      </c>
      <c r="H8" s="2">
        <v>22</v>
      </c>
      <c r="I8" s="2">
        <v>50</v>
      </c>
      <c r="J8" s="2" t="s">
        <v>38</v>
      </c>
    </row>
    <row r="9" spans="2:10" x14ac:dyDescent="0.3">
      <c r="B9" s="3" t="s">
        <v>0</v>
      </c>
      <c r="C9" s="2" t="s">
        <v>28</v>
      </c>
      <c r="D9" s="5">
        <v>7</v>
      </c>
      <c r="E9" s="6">
        <f t="shared" si="0"/>
        <v>7</v>
      </c>
      <c r="J9" s="36">
        <v>2</v>
      </c>
    </row>
    <row r="10" spans="2:10" x14ac:dyDescent="0.3">
      <c r="B10" s="3" t="s">
        <v>536</v>
      </c>
      <c r="C10" s="2" t="s">
        <v>28</v>
      </c>
      <c r="D10" s="5">
        <v>7</v>
      </c>
      <c r="E10" s="6">
        <f t="shared" si="0"/>
        <v>7</v>
      </c>
    </row>
    <row r="11" spans="2:10" x14ac:dyDescent="0.3">
      <c r="B11" s="3" t="s">
        <v>1</v>
      </c>
      <c r="C11" s="2" t="s">
        <v>27</v>
      </c>
      <c r="D11" s="5">
        <v>7</v>
      </c>
      <c r="E11" s="6">
        <f t="shared" si="0"/>
        <v>7</v>
      </c>
    </row>
    <row r="12" spans="2:10" x14ac:dyDescent="0.3">
      <c r="B12" s="3" t="s">
        <v>2</v>
      </c>
      <c r="C12" s="2" t="s">
        <v>27</v>
      </c>
      <c r="D12" s="5">
        <v>7</v>
      </c>
      <c r="E12" s="6">
        <f t="shared" si="0"/>
        <v>7</v>
      </c>
    </row>
    <row r="13" spans="2:10" x14ac:dyDescent="0.3">
      <c r="B13" s="3" t="s">
        <v>3</v>
      </c>
      <c r="C13" s="2" t="s">
        <v>28</v>
      </c>
      <c r="D13" s="6">
        <v>6</v>
      </c>
      <c r="E13" s="6">
        <f t="shared" si="0"/>
        <v>6</v>
      </c>
    </row>
    <row r="14" spans="2:10" x14ac:dyDescent="0.3">
      <c r="B14" s="3" t="s">
        <v>4</v>
      </c>
      <c r="C14" s="2" t="s">
        <v>28</v>
      </c>
      <c r="D14" s="6">
        <v>6</v>
      </c>
      <c r="E14" s="6">
        <f t="shared" si="0"/>
        <v>6</v>
      </c>
    </row>
    <row r="15" spans="2:10" x14ac:dyDescent="0.3">
      <c r="B15" s="3" t="s">
        <v>5</v>
      </c>
      <c r="C15" s="2" t="s">
        <v>28</v>
      </c>
      <c r="D15" s="7">
        <v>7</v>
      </c>
      <c r="E15" s="6">
        <f t="shared" si="0"/>
        <v>7</v>
      </c>
    </row>
    <row r="16" spans="2:10" x14ac:dyDescent="0.3">
      <c r="B16" s="3" t="s">
        <v>518</v>
      </c>
      <c r="C16" s="2" t="s">
        <v>27</v>
      </c>
      <c r="D16" s="7">
        <v>7</v>
      </c>
      <c r="E16" s="6">
        <f t="shared" si="0"/>
        <v>7</v>
      </c>
    </row>
    <row r="17" spans="2:5" x14ac:dyDescent="0.3">
      <c r="B17" s="4" t="s">
        <v>6</v>
      </c>
      <c r="C17" s="2" t="s">
        <v>27</v>
      </c>
      <c r="D17" s="7">
        <v>7</v>
      </c>
      <c r="E17" s="6">
        <f t="shared" si="0"/>
        <v>7</v>
      </c>
    </row>
    <row r="18" spans="2:5" x14ac:dyDescent="0.3">
      <c r="B18" s="4" t="s">
        <v>7</v>
      </c>
      <c r="C18" s="2" t="s">
        <v>27</v>
      </c>
      <c r="D18" s="7">
        <v>7</v>
      </c>
      <c r="E18" s="6">
        <f t="shared" si="0"/>
        <v>7</v>
      </c>
    </row>
    <row r="19" spans="2:5" x14ac:dyDescent="0.3">
      <c r="B19" s="4" t="s">
        <v>8</v>
      </c>
      <c r="C19" s="2" t="s">
        <v>27</v>
      </c>
      <c r="D19" s="7">
        <v>7</v>
      </c>
      <c r="E19" s="6">
        <f t="shared" si="0"/>
        <v>7</v>
      </c>
    </row>
    <row r="20" spans="2:5" x14ac:dyDescent="0.3">
      <c r="B20" s="4" t="s">
        <v>9</v>
      </c>
      <c r="C20" s="2" t="s">
        <v>28</v>
      </c>
      <c r="D20" s="6">
        <v>6</v>
      </c>
      <c r="E20" s="6">
        <f t="shared" si="0"/>
        <v>6</v>
      </c>
    </row>
    <row r="21" spans="2:5" x14ac:dyDescent="0.3">
      <c r="B21" s="4" t="s">
        <v>10</v>
      </c>
      <c r="C21" s="2" t="s">
        <v>28</v>
      </c>
      <c r="D21" s="6">
        <v>6</v>
      </c>
      <c r="E21" s="6">
        <f t="shared" si="0"/>
        <v>6</v>
      </c>
    </row>
    <row r="22" spans="2:5" x14ac:dyDescent="0.3">
      <c r="B22" s="4" t="s">
        <v>11</v>
      </c>
      <c r="C22" s="2" t="s">
        <v>27</v>
      </c>
      <c r="D22" s="5">
        <v>7</v>
      </c>
      <c r="E22" s="6">
        <f t="shared" si="0"/>
        <v>7</v>
      </c>
    </row>
    <row r="23" spans="2:5" x14ac:dyDescent="0.3">
      <c r="B23" s="4" t="s">
        <v>12</v>
      </c>
      <c r="C23" s="2" t="s">
        <v>27</v>
      </c>
      <c r="D23" s="5">
        <v>7</v>
      </c>
      <c r="E23" s="6">
        <f t="shared" si="0"/>
        <v>7</v>
      </c>
    </row>
    <row r="24" spans="2:5" x14ac:dyDescent="0.3">
      <c r="B24" s="4" t="s">
        <v>13</v>
      </c>
      <c r="C24" s="2" t="s">
        <v>27</v>
      </c>
      <c r="D24" s="5">
        <v>7</v>
      </c>
      <c r="E24" s="6">
        <f t="shared" si="0"/>
        <v>7</v>
      </c>
    </row>
    <row r="25" spans="2:5" x14ac:dyDescent="0.3">
      <c r="B25" s="4" t="s">
        <v>14</v>
      </c>
      <c r="C25" s="2" t="s">
        <v>27</v>
      </c>
      <c r="D25" s="5">
        <v>7</v>
      </c>
      <c r="E25" s="6">
        <f t="shared" si="0"/>
        <v>7</v>
      </c>
    </row>
    <row r="26" spans="2:5" x14ac:dyDescent="0.3">
      <c r="B26" s="4" t="s">
        <v>15</v>
      </c>
      <c r="C26" s="2" t="s">
        <v>27</v>
      </c>
      <c r="D26" s="5">
        <v>7</v>
      </c>
      <c r="E26" s="6">
        <f t="shared" si="0"/>
        <v>7</v>
      </c>
    </row>
    <row r="27" spans="2:5" x14ac:dyDescent="0.3">
      <c r="B27" s="4" t="s">
        <v>16</v>
      </c>
      <c r="C27" s="2" t="s">
        <v>27</v>
      </c>
      <c r="D27" s="6">
        <v>6</v>
      </c>
      <c r="E27" s="6">
        <f t="shared" si="0"/>
        <v>6</v>
      </c>
    </row>
    <row r="28" spans="2:5" x14ac:dyDescent="0.3">
      <c r="B28" s="4" t="s">
        <v>17</v>
      </c>
      <c r="C28" s="2" t="s">
        <v>27</v>
      </c>
      <c r="D28" s="5">
        <v>7</v>
      </c>
      <c r="E28" s="6">
        <f t="shared" si="0"/>
        <v>7</v>
      </c>
    </row>
    <row r="29" spans="2:5" x14ac:dyDescent="0.3">
      <c r="B29" s="4" t="s">
        <v>18</v>
      </c>
      <c r="C29" s="2" t="s">
        <v>27</v>
      </c>
      <c r="D29" s="5">
        <v>7</v>
      </c>
      <c r="E29" s="6">
        <f t="shared" si="0"/>
        <v>7</v>
      </c>
    </row>
    <row r="30" spans="2:5" x14ac:dyDescent="0.3">
      <c r="B30" s="4" t="s">
        <v>19</v>
      </c>
      <c r="C30" s="2" t="s">
        <v>27</v>
      </c>
      <c r="D30" s="5">
        <v>7</v>
      </c>
      <c r="E30" s="6">
        <f t="shared" si="0"/>
        <v>7</v>
      </c>
    </row>
    <row r="31" spans="2:5" x14ac:dyDescent="0.3">
      <c r="B31" s="4" t="s">
        <v>20</v>
      </c>
      <c r="C31" s="2" t="s">
        <v>27</v>
      </c>
      <c r="D31" s="5">
        <v>7</v>
      </c>
      <c r="E31" s="6">
        <f t="shared" si="0"/>
        <v>7</v>
      </c>
    </row>
    <row r="32" spans="2:5" x14ac:dyDescent="0.3">
      <c r="D32" s="36">
        <v>24</v>
      </c>
    </row>
    <row r="33" spans="3:5" x14ac:dyDescent="0.3">
      <c r="C33" s="1" t="b">
        <v>1</v>
      </c>
      <c r="D33" s="44">
        <f>INDEX(D5:D31,$D$32)</f>
        <v>7</v>
      </c>
      <c r="E33" s="44">
        <f>INDEX(E5:E31,$D$32)</f>
        <v>7</v>
      </c>
    </row>
    <row r="34" spans="3:5" x14ac:dyDescent="0.3">
      <c r="D34" s="1">
        <f>IF(C33,D33,E33)</f>
        <v>7</v>
      </c>
    </row>
  </sheetData>
  <mergeCells count="8">
    <mergeCell ref="G2:J2"/>
    <mergeCell ref="D3:E3"/>
    <mergeCell ref="B3:B4"/>
    <mergeCell ref="C3:C4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3:Y124"/>
  <sheetViews>
    <sheetView showWhiteSpace="0" view="pageLayout" topLeftCell="A94" zoomScale="80" zoomScaleNormal="115" zoomScalePageLayoutView="80" workbookViewId="0"/>
  </sheetViews>
  <sheetFormatPr defaultColWidth="9.109375" defaultRowHeight="18" x14ac:dyDescent="0.3"/>
  <cols>
    <col min="1" max="28" width="3.44140625" style="31" customWidth="1"/>
    <col min="29" max="35" width="9.109375" style="31"/>
    <col min="36" max="36" width="9.5546875" style="31" bestFit="1" customWidth="1"/>
    <col min="37" max="16384" width="9.109375" style="31"/>
  </cols>
  <sheetData>
    <row r="3" spans="1:25" ht="18.75" customHeight="1" x14ac:dyDescent="0.3">
      <c r="A3" s="80" t="s">
        <v>215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</row>
    <row r="4" spans="1:25" ht="18.75" customHeight="1" x14ac:dyDescent="0.3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</row>
    <row r="5" spans="1:25" ht="18.75" customHeight="1" x14ac:dyDescent="0.3">
      <c r="A5" s="78" t="s">
        <v>83</v>
      </c>
      <c r="B5" s="78"/>
      <c r="C5" s="78"/>
      <c r="D5" s="78"/>
      <c r="E5" s="78" t="str">
        <f>'Вихідні дані'!D6</f>
        <v xml:space="preserve"> ТОВ«ЕДВАНСІС ГРУП»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</row>
    <row r="6" spans="1:25" ht="18.75" customHeight="1" x14ac:dyDescent="0.3">
      <c r="A6" s="80" t="s">
        <v>84</v>
      </c>
      <c r="B6" s="80"/>
      <c r="C6" s="80"/>
      <c r="D6" s="80"/>
      <c r="E6" s="78" t="s">
        <v>86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ht="18.75" customHeight="1" x14ac:dyDescent="0.3">
      <c r="A7" s="78" t="s">
        <v>85</v>
      </c>
      <c r="B7" s="78"/>
      <c r="C7" s="78"/>
      <c r="D7" s="127">
        <f ca="1">TODAY()</f>
        <v>45559</v>
      </c>
      <c r="E7" s="127"/>
      <c r="F7" s="127"/>
      <c r="G7" s="127"/>
      <c r="H7" s="127"/>
      <c r="I7" s="35"/>
      <c r="J7" s="35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x14ac:dyDescent="0.3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spans="1:25" ht="18.75" customHeight="1" x14ac:dyDescent="0.3">
      <c r="A9" s="81" t="s">
        <v>52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</row>
    <row r="10" spans="1:25" ht="18.75" customHeight="1" x14ac:dyDescent="0.3">
      <c r="A10" s="78" t="s">
        <v>53</v>
      </c>
      <c r="B10" s="78"/>
      <c r="C10" s="78"/>
      <c r="D10" s="78" t="str">
        <f>'Вихідні дані'!C7</f>
        <v xml:space="preserve"> -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</row>
    <row r="11" spans="1:25" ht="18.75" customHeight="1" x14ac:dyDescent="0.3">
      <c r="A11" s="78" t="s">
        <v>54</v>
      </c>
      <c r="B11" s="78"/>
      <c r="C11" s="78"/>
      <c r="D11" s="78"/>
      <c r="E11" s="78"/>
      <c r="F11" s="78"/>
      <c r="G11" s="78"/>
      <c r="H11" s="78" t="str">
        <f>INDEX(Кліматологія!B5:B31,Кліматологія!D32)</f>
        <v>Хмельницький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</row>
    <row r="12" spans="1:25" ht="18.75" customHeight="1" x14ac:dyDescent="0.3">
      <c r="A12" s="78" t="s">
        <v>55</v>
      </c>
      <c r="B12" s="78"/>
      <c r="C12" s="78"/>
      <c r="D12" s="78" t="str">
        <f>'Вихідні дані'!C9</f>
        <v>проспект Миру, буд. 99/101  м. Хмельницький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</row>
    <row r="13" spans="1:25" ht="18.75" customHeight="1" x14ac:dyDescent="0.3">
      <c r="A13" s="78" t="s">
        <v>56</v>
      </c>
      <c r="B13" s="78"/>
      <c r="C13" s="78"/>
      <c r="D13" s="78"/>
      <c r="E13" s="78"/>
      <c r="F13" s="78"/>
      <c r="G13" s="78"/>
      <c r="H13" s="78"/>
      <c r="I13" s="78" t="str">
        <f>INDEX(Кліматологія!G5:G8,Кліматологія!J9)</f>
        <v>Громадські і адміністративні  будинки</v>
      </c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</row>
    <row r="14" spans="1:25" ht="18.75" customHeight="1" x14ac:dyDescent="0.3">
      <c r="A14" s="78" t="s">
        <v>57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80">
        <f>INDEX(Кліматологія!H5:H8,Кліматологія!J9)</f>
        <v>20</v>
      </c>
      <c r="Q14" s="80"/>
      <c r="R14" s="78" t="s">
        <v>96</v>
      </c>
      <c r="S14" s="78"/>
    </row>
    <row r="15" spans="1:25" ht="18.75" customHeight="1" x14ac:dyDescent="0.3">
      <c r="A15" s="78" t="s">
        <v>58</v>
      </c>
      <c r="B15" s="78"/>
      <c r="C15" s="78"/>
      <c r="D15" s="78"/>
      <c r="E15" s="78"/>
      <c r="F15" s="78"/>
      <c r="G15" s="78"/>
      <c r="H15" s="78"/>
      <c r="I15" s="78"/>
      <c r="J15" s="80" t="str">
        <f>INDEX(Кліматологія!I5:I8,Кліматологія!J9)</f>
        <v>50 - 60</v>
      </c>
      <c r="K15" s="80"/>
      <c r="L15" s="80"/>
      <c r="M15" s="78" t="s">
        <v>95</v>
      </c>
      <c r="N15" s="78"/>
      <c r="O15" s="32"/>
      <c r="P15" s="32"/>
      <c r="Q15" s="32"/>
      <c r="R15" s="32"/>
    </row>
    <row r="16" spans="1:25" ht="18.75" customHeight="1" x14ac:dyDescent="0.3">
      <c r="A16" s="78" t="s">
        <v>525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</row>
    <row r="17" spans="1:25" ht="18.75" customHeight="1" x14ac:dyDescent="0.3">
      <c r="A17" s="78" t="s">
        <v>526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</row>
    <row r="18" spans="1:25" ht="18.75" customHeight="1" x14ac:dyDescent="0.3">
      <c r="A18" s="78" t="s">
        <v>499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</row>
    <row r="19" spans="1:25" ht="18.75" customHeight="1" x14ac:dyDescent="0.3">
      <c r="A19" s="78" t="s">
        <v>507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1:25" ht="18.75" customHeight="1" x14ac:dyDescent="0.3">
      <c r="A20" s="78" t="s">
        <v>88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1:25" ht="18.75" customHeight="1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2"/>
      <c r="K21" s="32"/>
      <c r="L21" s="32"/>
      <c r="M21" s="32"/>
      <c r="N21" s="32"/>
      <c r="O21" s="32"/>
      <c r="P21" s="32"/>
      <c r="Q21" s="32"/>
      <c r="R21" s="32"/>
    </row>
    <row r="22" spans="1:25" ht="18.75" customHeight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2"/>
      <c r="K22" s="32"/>
      <c r="L22" s="32"/>
      <c r="M22" s="32"/>
      <c r="N22" s="32"/>
      <c r="O22" s="32"/>
      <c r="P22" s="32"/>
      <c r="Q22" s="32"/>
      <c r="R22" s="32"/>
    </row>
    <row r="23" spans="1:25" ht="18.75" customHeight="1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2"/>
      <c r="K23" s="32"/>
      <c r="L23" s="32"/>
      <c r="M23" s="32"/>
      <c r="N23" s="32"/>
      <c r="O23" s="32"/>
      <c r="P23" s="32"/>
      <c r="Q23" s="32"/>
      <c r="R23" s="32"/>
    </row>
    <row r="24" spans="1:25" ht="18.75" customHeight="1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2"/>
      <c r="K24" s="32"/>
      <c r="L24" s="32"/>
      <c r="M24" s="32"/>
      <c r="N24" s="32"/>
      <c r="O24" s="32"/>
      <c r="P24" s="32"/>
      <c r="Q24" s="32"/>
      <c r="R24" s="32"/>
    </row>
    <row r="25" spans="1:25" ht="18.75" customHeight="1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2"/>
      <c r="K25" s="32"/>
      <c r="L25" s="32"/>
      <c r="M25" s="32"/>
      <c r="N25" s="32"/>
      <c r="O25" s="32"/>
      <c r="P25" s="32"/>
      <c r="Q25" s="32"/>
      <c r="R25" s="32"/>
    </row>
    <row r="26" spans="1:25" ht="18.75" customHeight="1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2"/>
      <c r="K26" s="32"/>
      <c r="L26" s="32"/>
      <c r="M26" s="32"/>
      <c r="N26" s="32"/>
      <c r="O26" s="32"/>
      <c r="P26" s="32"/>
      <c r="Q26" s="32"/>
      <c r="R26" s="32"/>
    </row>
    <row r="27" spans="1:25" ht="18.75" customHeight="1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2"/>
      <c r="K27" s="32"/>
      <c r="L27" s="32"/>
      <c r="M27" s="32"/>
      <c r="N27" s="32"/>
      <c r="O27" s="32"/>
      <c r="P27" s="32"/>
      <c r="Q27" s="32"/>
      <c r="R27" s="32"/>
    </row>
    <row r="28" spans="1:25" ht="18.75" customHeight="1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2"/>
      <c r="K28" s="32"/>
      <c r="L28" s="32"/>
      <c r="M28" s="32"/>
      <c r="N28" s="32"/>
      <c r="O28" s="32"/>
      <c r="P28" s="32"/>
      <c r="Q28" s="32"/>
      <c r="R28" s="32"/>
    </row>
    <row r="29" spans="1:25" ht="18.75" customHeight="1" x14ac:dyDescent="0.3">
      <c r="A29" s="33"/>
      <c r="B29" s="33"/>
      <c r="C29" s="33"/>
      <c r="D29" s="33"/>
      <c r="E29" s="33"/>
      <c r="F29" s="33"/>
      <c r="G29" s="33"/>
      <c r="H29" s="33"/>
      <c r="I29" s="33"/>
      <c r="J29" s="32"/>
      <c r="K29" s="32"/>
      <c r="L29" s="32"/>
      <c r="M29" s="32"/>
      <c r="N29" s="32"/>
      <c r="O29" s="32"/>
      <c r="P29" s="32"/>
      <c r="Q29" s="32"/>
      <c r="R29" s="32"/>
    </row>
    <row r="30" spans="1:25" ht="18.75" customHeight="1" x14ac:dyDescent="0.3">
      <c r="A30" s="33"/>
      <c r="B30" s="33"/>
      <c r="C30" s="33"/>
      <c r="D30" s="33"/>
      <c r="E30" s="33"/>
      <c r="F30" s="33"/>
      <c r="G30" s="33"/>
      <c r="H30" s="33"/>
      <c r="I30" s="33"/>
      <c r="J30" s="32"/>
      <c r="K30" s="32"/>
      <c r="L30" s="32"/>
      <c r="M30" s="32"/>
      <c r="N30" s="32"/>
      <c r="O30" s="32"/>
      <c r="P30" s="32"/>
      <c r="Q30" s="32"/>
      <c r="R30" s="32"/>
    </row>
    <row r="31" spans="1:25" ht="18.75" customHeight="1" x14ac:dyDescent="0.3">
      <c r="A31" s="33"/>
      <c r="B31" s="33"/>
      <c r="C31" s="33"/>
      <c r="D31" s="33"/>
      <c r="E31" s="33"/>
      <c r="F31" s="33"/>
      <c r="G31" s="33"/>
      <c r="H31" s="33"/>
      <c r="I31" s="33"/>
      <c r="J31" s="32"/>
      <c r="K31" s="32"/>
      <c r="L31" s="32"/>
      <c r="M31" s="32"/>
      <c r="N31" s="32"/>
      <c r="O31" s="32"/>
      <c r="P31" s="32"/>
      <c r="Q31" s="32"/>
      <c r="R31" s="32"/>
    </row>
    <row r="32" spans="1:25" ht="18.75" customHeight="1" x14ac:dyDescent="0.3">
      <c r="A32" s="33"/>
      <c r="B32" s="33"/>
      <c r="C32" s="33"/>
      <c r="D32" s="33"/>
      <c r="E32" s="33"/>
      <c r="F32" s="33"/>
      <c r="G32" s="33"/>
      <c r="H32" s="33"/>
      <c r="I32" s="33"/>
      <c r="J32" s="32"/>
      <c r="K32" s="32"/>
      <c r="L32" s="32"/>
      <c r="M32" s="32"/>
      <c r="N32" s="32"/>
      <c r="O32" s="32"/>
      <c r="P32" s="32"/>
      <c r="Q32" s="32"/>
      <c r="R32" s="32"/>
    </row>
    <row r="33" spans="1:25" ht="18.75" customHeight="1" x14ac:dyDescent="0.3">
      <c r="A33" s="33"/>
      <c r="B33" s="33"/>
      <c r="C33" s="33"/>
      <c r="D33" s="33"/>
      <c r="E33" s="33"/>
      <c r="F33" s="33"/>
      <c r="G33" s="33"/>
      <c r="H33" s="33"/>
      <c r="I33" s="33"/>
      <c r="J33" s="32"/>
      <c r="K33" s="32"/>
      <c r="L33" s="32"/>
      <c r="M33" s="32"/>
      <c r="N33" s="32"/>
      <c r="O33" s="32"/>
      <c r="P33" s="32"/>
      <c r="Q33" s="32"/>
      <c r="R33" s="32"/>
    </row>
    <row r="34" spans="1:25" ht="18.75" customHeight="1" x14ac:dyDescent="0.3">
      <c r="A34" s="33"/>
      <c r="B34" s="33"/>
      <c r="C34" s="33"/>
      <c r="D34" s="33"/>
      <c r="E34" s="33"/>
      <c r="F34" s="33"/>
      <c r="G34" s="33"/>
      <c r="H34" s="33"/>
      <c r="I34" s="33"/>
      <c r="J34" s="32"/>
      <c r="K34" s="32"/>
      <c r="L34" s="32"/>
      <c r="M34" s="32"/>
      <c r="N34" s="32"/>
      <c r="O34" s="32"/>
      <c r="P34" s="32"/>
      <c r="Q34" s="32"/>
      <c r="R34" s="32"/>
    </row>
    <row r="35" spans="1:25" ht="18.75" customHeight="1" x14ac:dyDescent="0.3">
      <c r="A35" s="33"/>
      <c r="B35" s="33"/>
      <c r="C35" s="33"/>
      <c r="D35" s="33"/>
      <c r="E35" s="33"/>
      <c r="F35" s="33"/>
      <c r="G35" s="33"/>
      <c r="H35" s="33"/>
      <c r="I35" s="33"/>
      <c r="J35" s="32"/>
      <c r="K35" s="32"/>
      <c r="L35" s="32"/>
      <c r="M35" s="32"/>
      <c r="N35" s="32"/>
      <c r="O35" s="32"/>
      <c r="P35" s="32"/>
      <c r="Q35" s="32"/>
      <c r="R35" s="32"/>
    </row>
    <row r="36" spans="1:25" ht="18.75" customHeight="1" x14ac:dyDescent="0.3">
      <c r="A36" s="33"/>
      <c r="B36" s="33"/>
      <c r="C36" s="33"/>
      <c r="D36" s="33"/>
      <c r="E36" s="33"/>
      <c r="F36" s="33"/>
      <c r="G36" s="33"/>
      <c r="H36" s="33"/>
      <c r="I36" s="33"/>
      <c r="J36" s="32"/>
      <c r="K36" s="32"/>
      <c r="L36" s="32"/>
      <c r="M36" s="32"/>
      <c r="N36" s="32"/>
      <c r="O36" s="32"/>
      <c r="P36" s="32"/>
      <c r="Q36" s="32"/>
      <c r="R36" s="32"/>
    </row>
    <row r="37" spans="1:25" ht="18.75" customHeight="1" x14ac:dyDescent="0.3">
      <c r="A37" s="33"/>
      <c r="B37" s="33"/>
      <c r="C37" s="33"/>
      <c r="D37" s="33"/>
      <c r="E37" s="33"/>
      <c r="F37" s="33"/>
      <c r="G37" s="33"/>
      <c r="H37" s="33"/>
      <c r="I37" s="33"/>
      <c r="J37" s="32"/>
      <c r="K37" s="32"/>
      <c r="L37" s="32"/>
      <c r="M37" s="32"/>
      <c r="N37" s="32"/>
      <c r="O37" s="32"/>
      <c r="P37" s="32"/>
      <c r="Q37" s="32"/>
      <c r="R37" s="32"/>
    </row>
    <row r="38" spans="1:25" ht="18.75" customHeight="1" x14ac:dyDescent="0.3">
      <c r="A38" s="97" t="s">
        <v>498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 spans="1:25" ht="18.75" customHeight="1" x14ac:dyDescent="0.3">
      <c r="A39" s="33"/>
      <c r="B39" s="33"/>
      <c r="C39" s="33"/>
      <c r="D39" s="33"/>
      <c r="E39" s="33"/>
      <c r="F39" s="33"/>
      <c r="G39" s="33"/>
      <c r="H39" s="33"/>
      <c r="I39" s="33"/>
      <c r="J39" s="32"/>
      <c r="K39" s="32"/>
      <c r="L39" s="32"/>
      <c r="M39" s="32"/>
      <c r="N39" s="32"/>
      <c r="O39" s="32"/>
      <c r="P39" s="32"/>
      <c r="Q39" s="32"/>
      <c r="R39" s="32"/>
    </row>
    <row r="40" spans="1:25" ht="18.75" customHeight="1" x14ac:dyDescent="0.3">
      <c r="A40" s="33"/>
      <c r="B40" s="115" t="s">
        <v>76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32"/>
    </row>
    <row r="41" spans="1:25" ht="18.75" customHeight="1" x14ac:dyDescent="0.3">
      <c r="A41" s="33"/>
      <c r="B41" s="90" t="s">
        <v>77</v>
      </c>
      <c r="C41" s="90"/>
      <c r="D41" s="90" t="s">
        <v>78</v>
      </c>
      <c r="E41" s="90"/>
      <c r="F41" s="90"/>
      <c r="G41" s="90"/>
      <c r="H41" s="90"/>
      <c r="I41" s="90"/>
      <c r="J41" s="90"/>
      <c r="K41" s="90"/>
      <c r="L41" s="90"/>
      <c r="M41" s="90"/>
      <c r="N41" s="90" t="s">
        <v>80</v>
      </c>
      <c r="O41" s="90"/>
      <c r="P41" s="90"/>
      <c r="Q41" s="90" t="s">
        <v>104</v>
      </c>
      <c r="R41" s="90"/>
      <c r="S41" s="90"/>
      <c r="T41" s="90" t="s">
        <v>81</v>
      </c>
      <c r="U41" s="90"/>
      <c r="V41" s="90"/>
      <c r="W41" s="90"/>
      <c r="X41" s="90"/>
    </row>
    <row r="42" spans="1:25" ht="18.75" customHeight="1" x14ac:dyDescent="0.3">
      <c r="A42" s="33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</row>
    <row r="43" spans="1:25" ht="18.75" customHeight="1" x14ac:dyDescent="0.3">
      <c r="A43" s="33"/>
      <c r="B43" s="90">
        <v>1</v>
      </c>
      <c r="C43" s="90"/>
      <c r="D43" s="121" t="str">
        <f>Облицювання!B62</f>
        <v>Немає</v>
      </c>
      <c r="E43" s="121"/>
      <c r="F43" s="121"/>
      <c r="G43" s="121"/>
      <c r="H43" s="121"/>
      <c r="I43" s="121"/>
      <c r="J43" s="121"/>
      <c r="K43" s="121"/>
      <c r="L43" s="121"/>
      <c r="M43" s="121"/>
      <c r="N43" s="90">
        <f>Облицювання!C62</f>
        <v>0</v>
      </c>
      <c r="O43" s="90"/>
      <c r="P43" s="90"/>
      <c r="Q43" s="120">
        <f>IF(N43=0,0,'Вихідні дані'!P14)</f>
        <v>0</v>
      </c>
      <c r="R43" s="90"/>
      <c r="S43" s="90"/>
      <c r="T43" s="90">
        <f>Облицювання!I62</f>
        <v>1</v>
      </c>
      <c r="U43" s="90"/>
      <c r="V43" s="90"/>
      <c r="W43" s="90"/>
      <c r="X43" s="90"/>
    </row>
    <row r="44" spans="1:25" ht="18.75" customHeight="1" x14ac:dyDescent="0.3">
      <c r="A44" s="33"/>
      <c r="B44" s="90"/>
      <c r="C44" s="90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90"/>
      <c r="O44" s="90"/>
      <c r="P44" s="90"/>
      <c r="Q44" s="120"/>
      <c r="R44" s="90"/>
      <c r="S44" s="90"/>
      <c r="T44" s="90"/>
      <c r="U44" s="90"/>
      <c r="V44" s="90"/>
      <c r="W44" s="90"/>
      <c r="X44" s="90"/>
    </row>
    <row r="45" spans="1:25" ht="18.75" customHeight="1" x14ac:dyDescent="0.3">
      <c r="A45" s="33"/>
      <c r="B45" s="90"/>
      <c r="C45" s="90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</row>
    <row r="46" spans="1:25" ht="18.75" customHeight="1" x14ac:dyDescent="0.3">
      <c r="A46" s="33"/>
      <c r="B46" s="90">
        <v>2</v>
      </c>
      <c r="C46" s="90"/>
      <c r="D46" s="121" t="str">
        <f>Облицювання!B63</f>
        <v>Немає</v>
      </c>
      <c r="E46" s="121"/>
      <c r="F46" s="121"/>
      <c r="G46" s="121"/>
      <c r="H46" s="121"/>
      <c r="I46" s="121"/>
      <c r="J46" s="121"/>
      <c r="K46" s="121"/>
      <c r="L46" s="121"/>
      <c r="M46" s="121"/>
      <c r="N46" s="90">
        <f>Облицювання!C63</f>
        <v>0</v>
      </c>
      <c r="O46" s="90"/>
      <c r="P46" s="90"/>
      <c r="Q46" s="120">
        <f>IF(N46=0,0,'Вихідні дані'!P15)</f>
        <v>0</v>
      </c>
      <c r="R46" s="90"/>
      <c r="S46" s="90"/>
      <c r="T46" s="90">
        <f>Облицювання!I63</f>
        <v>1</v>
      </c>
      <c r="U46" s="90"/>
      <c r="V46" s="90"/>
      <c r="W46" s="90"/>
      <c r="X46" s="90"/>
    </row>
    <row r="47" spans="1:25" ht="18.75" customHeight="1" x14ac:dyDescent="0.3">
      <c r="A47" s="33"/>
      <c r="B47" s="90"/>
      <c r="C47" s="90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90"/>
      <c r="O47" s="90"/>
      <c r="P47" s="90"/>
      <c r="Q47" s="120"/>
      <c r="R47" s="90"/>
      <c r="S47" s="90"/>
      <c r="T47" s="90"/>
      <c r="U47" s="90"/>
      <c r="V47" s="90"/>
      <c r="W47" s="90"/>
      <c r="X47" s="90"/>
    </row>
    <row r="48" spans="1:25" ht="18.75" customHeight="1" x14ac:dyDescent="0.3">
      <c r="A48" s="33"/>
      <c r="B48" s="90"/>
      <c r="C48" s="90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</row>
    <row r="49" spans="1:24" ht="18.75" customHeight="1" x14ac:dyDescent="0.3">
      <c r="A49" s="33"/>
      <c r="B49" s="90">
        <v>3</v>
      </c>
      <c r="C49" s="90"/>
      <c r="D49" s="121" t="str">
        <f>Несуча_покриття!B27</f>
        <v xml:space="preserve">Залізобетон </v>
      </c>
      <c r="E49" s="121"/>
      <c r="F49" s="121"/>
      <c r="G49" s="121"/>
      <c r="H49" s="121"/>
      <c r="I49" s="121"/>
      <c r="J49" s="121"/>
      <c r="K49" s="121"/>
      <c r="L49" s="121"/>
      <c r="M49" s="121"/>
      <c r="N49" s="90">
        <f>Несуча_покриття!C27</f>
        <v>2500</v>
      </c>
      <c r="O49" s="90"/>
      <c r="P49" s="90"/>
      <c r="Q49" s="120">
        <f>IF(N49=0,0,'Вихідні дані'!P18)</f>
        <v>0.03</v>
      </c>
      <c r="R49" s="90"/>
      <c r="S49" s="90"/>
      <c r="T49" s="90">
        <f>Несуча_покриття!I27</f>
        <v>2.04</v>
      </c>
      <c r="U49" s="90"/>
      <c r="V49" s="90"/>
      <c r="W49" s="90"/>
      <c r="X49" s="90"/>
    </row>
    <row r="50" spans="1:24" ht="18.75" customHeight="1" x14ac:dyDescent="0.3">
      <c r="A50" s="33"/>
      <c r="B50" s="90"/>
      <c r="C50" s="90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90"/>
      <c r="O50" s="90"/>
      <c r="P50" s="90"/>
      <c r="Q50" s="120"/>
      <c r="R50" s="90"/>
      <c r="S50" s="90"/>
      <c r="T50" s="90"/>
      <c r="U50" s="90"/>
      <c r="V50" s="90"/>
      <c r="W50" s="90"/>
      <c r="X50" s="90"/>
    </row>
    <row r="51" spans="1:24" ht="18.75" customHeight="1" x14ac:dyDescent="0.3">
      <c r="A51" s="33"/>
      <c r="B51" s="90"/>
      <c r="C51" s="90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90"/>
      <c r="O51" s="90"/>
      <c r="P51" s="90"/>
      <c r="Q51" s="120"/>
      <c r="R51" s="90"/>
      <c r="S51" s="90"/>
      <c r="T51" s="90"/>
      <c r="U51" s="90"/>
      <c r="V51" s="90"/>
      <c r="W51" s="90"/>
      <c r="X51" s="90"/>
    </row>
    <row r="52" spans="1:24" ht="18.75" customHeight="1" x14ac:dyDescent="0.3">
      <c r="A52" s="33"/>
      <c r="B52" s="90">
        <v>4</v>
      </c>
      <c r="C52" s="90"/>
      <c r="D52" s="121" t="str">
        <f>Ухил!B109</f>
        <v>Немає</v>
      </c>
      <c r="E52" s="121"/>
      <c r="F52" s="121"/>
      <c r="G52" s="121"/>
      <c r="H52" s="121"/>
      <c r="I52" s="121"/>
      <c r="J52" s="121"/>
      <c r="K52" s="121"/>
      <c r="L52" s="121"/>
      <c r="M52" s="121"/>
      <c r="N52" s="90">
        <f>Ухил!C109</f>
        <v>0</v>
      </c>
      <c r="O52" s="90"/>
      <c r="P52" s="90"/>
      <c r="Q52" s="120">
        <f>IF(N52=0,0,'Вихідні дані'!P21)</f>
        <v>0</v>
      </c>
      <c r="R52" s="90"/>
      <c r="S52" s="90"/>
      <c r="T52" s="90">
        <f>Ухил!I109</f>
        <v>1</v>
      </c>
      <c r="U52" s="90"/>
      <c r="V52" s="90"/>
      <c r="W52" s="90"/>
      <c r="X52" s="90"/>
    </row>
    <row r="53" spans="1:24" ht="18.75" customHeight="1" x14ac:dyDescent="0.3">
      <c r="A53" s="33"/>
      <c r="B53" s="90"/>
      <c r="C53" s="90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90"/>
      <c r="O53" s="90"/>
      <c r="P53" s="90"/>
      <c r="Q53" s="120"/>
      <c r="R53" s="90"/>
      <c r="S53" s="90"/>
      <c r="T53" s="90"/>
      <c r="U53" s="90"/>
      <c r="V53" s="90"/>
      <c r="W53" s="90"/>
      <c r="X53" s="90"/>
    </row>
    <row r="54" spans="1:24" ht="18.75" customHeight="1" x14ac:dyDescent="0.3">
      <c r="A54" s="33"/>
      <c r="B54" s="90"/>
      <c r="C54" s="90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90"/>
      <c r="O54" s="90"/>
      <c r="P54" s="90"/>
      <c r="Q54" s="120"/>
      <c r="R54" s="90"/>
      <c r="S54" s="90"/>
      <c r="T54" s="90"/>
      <c r="U54" s="90"/>
      <c r="V54" s="90"/>
      <c r="W54" s="90"/>
      <c r="X54" s="90"/>
    </row>
    <row r="55" spans="1:24" ht="18.75" customHeight="1" x14ac:dyDescent="0.3">
      <c r="A55" s="33"/>
      <c r="B55" s="90">
        <v>5</v>
      </c>
      <c r="C55" s="90"/>
      <c r="D55" s="121" t="str">
        <f>Ухил!B110</f>
        <v>Розчин цементно-піщаний</v>
      </c>
      <c r="E55" s="121"/>
      <c r="F55" s="121"/>
      <c r="G55" s="121"/>
      <c r="H55" s="121"/>
      <c r="I55" s="121"/>
      <c r="J55" s="121"/>
      <c r="K55" s="121"/>
      <c r="L55" s="121"/>
      <c r="M55" s="121"/>
      <c r="N55" s="90">
        <f>Ухил!C110</f>
        <v>1600</v>
      </c>
      <c r="O55" s="90"/>
      <c r="P55" s="90"/>
      <c r="Q55" s="120">
        <f>IF(N55=0,0,'Вихідні дані'!P22)</f>
        <v>0.05</v>
      </c>
      <c r="R55" s="90"/>
      <c r="S55" s="90"/>
      <c r="T55" s="90">
        <f>Ухил!I110</f>
        <v>0.81</v>
      </c>
      <c r="U55" s="90"/>
      <c r="V55" s="90"/>
      <c r="W55" s="90"/>
      <c r="X55" s="90"/>
    </row>
    <row r="56" spans="1:24" ht="18.75" customHeight="1" x14ac:dyDescent="0.3">
      <c r="A56" s="33"/>
      <c r="B56" s="90"/>
      <c r="C56" s="90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90"/>
      <c r="O56" s="90"/>
      <c r="P56" s="90"/>
      <c r="Q56" s="120"/>
      <c r="R56" s="90"/>
      <c r="S56" s="90"/>
      <c r="T56" s="90"/>
      <c r="U56" s="90"/>
      <c r="V56" s="90"/>
      <c r="W56" s="90"/>
      <c r="X56" s="90"/>
    </row>
    <row r="57" spans="1:24" ht="18.75" customHeight="1" x14ac:dyDescent="0.3">
      <c r="A57" s="33"/>
      <c r="B57" s="90"/>
      <c r="C57" s="90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90"/>
      <c r="O57" s="90"/>
      <c r="P57" s="90"/>
      <c r="Q57" s="120"/>
      <c r="R57" s="90"/>
      <c r="S57" s="90"/>
      <c r="T57" s="90"/>
      <c r="U57" s="90"/>
      <c r="V57" s="90"/>
      <c r="W57" s="90"/>
      <c r="X57" s="90"/>
    </row>
    <row r="58" spans="1:24" ht="18.75" customHeight="1" x14ac:dyDescent="0.3">
      <c r="A58" s="33"/>
      <c r="B58" s="90">
        <v>6</v>
      </c>
      <c r="C58" s="90"/>
      <c r="D58" s="121" t="str">
        <f>Гидроіз!B24</f>
        <v>Пароізоляційна плівка</v>
      </c>
      <c r="E58" s="121"/>
      <c r="F58" s="121"/>
      <c r="G58" s="121"/>
      <c r="H58" s="121"/>
      <c r="I58" s="121"/>
      <c r="J58" s="121"/>
      <c r="K58" s="121"/>
      <c r="L58" s="121"/>
      <c r="M58" s="121"/>
      <c r="N58" s="90">
        <f>Гидроіз!C24</f>
        <v>1600</v>
      </c>
      <c r="O58" s="90"/>
      <c r="P58" s="90"/>
      <c r="Q58" s="123">
        <f>IF(N58=0,0,'Вихідні дані'!P25)</f>
        <v>2.2000000000000001E-4</v>
      </c>
      <c r="R58" s="123"/>
      <c r="S58" s="123"/>
      <c r="T58" s="90">
        <f>Гидроіз!I24</f>
        <v>0.3</v>
      </c>
      <c r="U58" s="90"/>
      <c r="V58" s="90"/>
      <c r="W58" s="90"/>
      <c r="X58" s="90"/>
    </row>
    <row r="59" spans="1:24" ht="18.75" customHeight="1" x14ac:dyDescent="0.3">
      <c r="A59" s="33"/>
      <c r="B59" s="90"/>
      <c r="C59" s="90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90"/>
      <c r="O59" s="90"/>
      <c r="P59" s="90"/>
      <c r="Q59" s="123"/>
      <c r="R59" s="123"/>
      <c r="S59" s="123"/>
      <c r="T59" s="90"/>
      <c r="U59" s="90"/>
      <c r="V59" s="90"/>
      <c r="W59" s="90"/>
      <c r="X59" s="90"/>
    </row>
    <row r="60" spans="1:24" ht="18.75" customHeight="1" x14ac:dyDescent="0.3">
      <c r="A60" s="33"/>
      <c r="B60" s="90"/>
      <c r="C60" s="90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90"/>
      <c r="O60" s="90"/>
      <c r="P60" s="90"/>
      <c r="Q60" s="123"/>
      <c r="R60" s="123"/>
      <c r="S60" s="123"/>
      <c r="T60" s="90"/>
      <c r="U60" s="90"/>
      <c r="V60" s="90"/>
      <c r="W60" s="90"/>
      <c r="X60" s="90"/>
    </row>
    <row r="61" spans="1:24" ht="18.75" customHeight="1" x14ac:dyDescent="0.3">
      <c r="A61" s="33"/>
      <c r="B61" s="93" t="s">
        <v>79</v>
      </c>
      <c r="C61" s="95"/>
      <c r="D61" s="121" t="str">
        <f>Утеплювач!B12</f>
        <v>Monrock Max E плити з мінеральної вати на синтетичному зв’язуючому, 220/115 кг/м³</v>
      </c>
      <c r="E61" s="121"/>
      <c r="F61" s="121"/>
      <c r="G61" s="121"/>
      <c r="H61" s="121"/>
      <c r="I61" s="121"/>
      <c r="J61" s="121"/>
      <c r="K61" s="121"/>
      <c r="L61" s="121"/>
      <c r="M61" s="121"/>
      <c r="N61" s="90" t="str">
        <f>Утеплювач!C12</f>
        <v>220/115</v>
      </c>
      <c r="O61" s="90"/>
      <c r="P61" s="90"/>
      <c r="Q61" s="120" t="s">
        <v>497</v>
      </c>
      <c r="R61" s="90"/>
      <c r="S61" s="90"/>
      <c r="T61" s="90">
        <f>Утеплювач!E12</f>
        <v>3.7699999999999997E-2</v>
      </c>
      <c r="U61" s="90"/>
      <c r="V61" s="90"/>
      <c r="W61" s="90"/>
      <c r="X61" s="90"/>
    </row>
    <row r="62" spans="1:24" ht="18.75" customHeight="1" x14ac:dyDescent="0.3">
      <c r="A62" s="33"/>
      <c r="B62" s="96"/>
      <c r="C62" s="98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90"/>
      <c r="O62" s="90"/>
      <c r="P62" s="90"/>
      <c r="Q62" s="120"/>
      <c r="R62" s="90"/>
      <c r="S62" s="90"/>
      <c r="T62" s="90"/>
      <c r="U62" s="90"/>
      <c r="V62" s="90"/>
      <c r="W62" s="90"/>
      <c r="X62" s="90"/>
    </row>
    <row r="63" spans="1:24" ht="18.75" customHeight="1" x14ac:dyDescent="0.3">
      <c r="A63" s="33"/>
      <c r="B63" s="96"/>
      <c r="C63" s="98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90"/>
      <c r="O63" s="90"/>
      <c r="P63" s="90"/>
      <c r="Q63" s="120"/>
      <c r="R63" s="90"/>
      <c r="S63" s="90"/>
      <c r="T63" s="90"/>
      <c r="U63" s="90"/>
      <c r="V63" s="90"/>
      <c r="W63" s="90"/>
      <c r="X63" s="90"/>
    </row>
    <row r="64" spans="1:24" ht="18.75" customHeight="1" x14ac:dyDescent="0.3">
      <c r="A64" s="33"/>
      <c r="B64" s="96"/>
      <c r="C64" s="98"/>
      <c r="D64" s="111" t="str">
        <f>Утеплювач!B24</f>
        <v>Немає</v>
      </c>
      <c r="E64" s="112"/>
      <c r="F64" s="112"/>
      <c r="G64" s="112"/>
      <c r="H64" s="112"/>
      <c r="I64" s="112"/>
      <c r="J64" s="112"/>
      <c r="K64" s="112"/>
      <c r="L64" s="112"/>
      <c r="M64" s="113"/>
      <c r="N64" s="93" t="str">
        <f>Утеплювач!C24</f>
        <v xml:space="preserve"> - </v>
      </c>
      <c r="O64" s="94"/>
      <c r="P64" s="95"/>
      <c r="Q64" s="102">
        <f>IF(N64=" - ", 0,'Вихідні дані'!P30)</f>
        <v>0</v>
      </c>
      <c r="R64" s="103"/>
      <c r="S64" s="104"/>
      <c r="T64" s="93">
        <f>Утеплювач!E24</f>
        <v>1</v>
      </c>
      <c r="U64" s="94"/>
      <c r="V64" s="94"/>
      <c r="W64" s="94"/>
      <c r="X64" s="95"/>
    </row>
    <row r="65" spans="1:25" ht="18.75" customHeight="1" x14ac:dyDescent="0.3">
      <c r="A65" s="33"/>
      <c r="B65" s="96"/>
      <c r="C65" s="98"/>
      <c r="D65" s="114"/>
      <c r="E65" s="115"/>
      <c r="F65" s="115"/>
      <c r="G65" s="115"/>
      <c r="H65" s="115"/>
      <c r="I65" s="115"/>
      <c r="J65" s="115"/>
      <c r="K65" s="115"/>
      <c r="L65" s="115"/>
      <c r="M65" s="116"/>
      <c r="N65" s="96"/>
      <c r="O65" s="97"/>
      <c r="P65" s="98"/>
      <c r="Q65" s="105"/>
      <c r="R65" s="106"/>
      <c r="S65" s="107"/>
      <c r="T65" s="96"/>
      <c r="U65" s="97"/>
      <c r="V65" s="97"/>
      <c r="W65" s="97"/>
      <c r="X65" s="98"/>
    </row>
    <row r="66" spans="1:25" ht="18.75" customHeight="1" x14ac:dyDescent="0.3">
      <c r="A66" s="33"/>
      <c r="B66" s="99"/>
      <c r="C66" s="101"/>
      <c r="D66" s="117"/>
      <c r="E66" s="118"/>
      <c r="F66" s="118"/>
      <c r="G66" s="118"/>
      <c r="H66" s="118"/>
      <c r="I66" s="118"/>
      <c r="J66" s="118"/>
      <c r="K66" s="118"/>
      <c r="L66" s="118"/>
      <c r="M66" s="119"/>
      <c r="N66" s="99"/>
      <c r="O66" s="100"/>
      <c r="P66" s="101"/>
      <c r="Q66" s="108"/>
      <c r="R66" s="109"/>
      <c r="S66" s="110"/>
      <c r="T66" s="99"/>
      <c r="U66" s="100"/>
      <c r="V66" s="100"/>
      <c r="W66" s="100"/>
      <c r="X66" s="101"/>
    </row>
    <row r="67" spans="1:25" ht="18.75" customHeight="1" x14ac:dyDescent="0.3">
      <c r="A67" s="33"/>
      <c r="B67" s="90">
        <v>7</v>
      </c>
      <c r="C67" s="90"/>
      <c r="D67" s="121" t="str">
        <f>Гидроіз!B25</f>
        <v>Мембрана ПВХ</v>
      </c>
      <c r="E67" s="121"/>
      <c r="F67" s="121"/>
      <c r="G67" s="121"/>
      <c r="H67" s="121"/>
      <c r="I67" s="121"/>
      <c r="J67" s="121"/>
      <c r="K67" s="121"/>
      <c r="L67" s="121"/>
      <c r="M67" s="121"/>
      <c r="N67" s="90">
        <f>Гидроіз!C25</f>
        <v>1000</v>
      </c>
      <c r="O67" s="90"/>
      <c r="P67" s="90"/>
      <c r="Q67" s="123">
        <f>IF(N67=0,0,'Вихідні дані'!P33)</f>
        <v>1.5E-3</v>
      </c>
      <c r="R67" s="123"/>
      <c r="S67" s="123"/>
      <c r="T67" s="90">
        <f>Гидроіз!I25</f>
        <v>0.23</v>
      </c>
      <c r="U67" s="90"/>
      <c r="V67" s="90"/>
      <c r="W67" s="90"/>
      <c r="X67" s="90"/>
    </row>
    <row r="68" spans="1:25" ht="18.75" customHeight="1" x14ac:dyDescent="0.3">
      <c r="A68" s="33"/>
      <c r="B68" s="90"/>
      <c r="C68" s="90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90"/>
      <c r="O68" s="90"/>
      <c r="P68" s="90"/>
      <c r="Q68" s="123"/>
      <c r="R68" s="123"/>
      <c r="S68" s="123"/>
      <c r="T68" s="90"/>
      <c r="U68" s="90"/>
      <c r="V68" s="90"/>
      <c r="W68" s="90"/>
      <c r="X68" s="90"/>
    </row>
    <row r="69" spans="1:25" ht="18.75" customHeight="1" x14ac:dyDescent="0.3">
      <c r="A69" s="33"/>
      <c r="B69" s="90"/>
      <c r="C69" s="90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90"/>
      <c r="O69" s="90"/>
      <c r="P69" s="90"/>
      <c r="Q69" s="123"/>
      <c r="R69" s="123"/>
      <c r="S69" s="123"/>
      <c r="T69" s="90"/>
      <c r="U69" s="90"/>
      <c r="V69" s="90"/>
      <c r="W69" s="90"/>
      <c r="X69" s="90"/>
    </row>
    <row r="70" spans="1:25" ht="18.75" customHeight="1" x14ac:dyDescent="0.3">
      <c r="A70" s="33"/>
      <c r="B70" s="90">
        <v>8</v>
      </c>
      <c r="C70" s="90"/>
      <c r="D70" s="121" t="str">
        <f>Несуча_покриття!B28</f>
        <v>Немає</v>
      </c>
      <c r="E70" s="121"/>
      <c r="F70" s="121"/>
      <c r="G70" s="121"/>
      <c r="H70" s="121"/>
      <c r="I70" s="121"/>
      <c r="J70" s="121"/>
      <c r="K70" s="121"/>
      <c r="L70" s="121"/>
      <c r="M70" s="121"/>
      <c r="N70" s="90">
        <f>Несуча_покриття!C28</f>
        <v>0</v>
      </c>
      <c r="O70" s="90"/>
      <c r="P70" s="90"/>
      <c r="Q70" s="123">
        <f>IF(N70=0,0,'Вихідні дані'!P36)</f>
        <v>0</v>
      </c>
      <c r="R70" s="123"/>
      <c r="S70" s="123"/>
      <c r="T70" s="90">
        <f>Несуча_покриття!I28</f>
        <v>1</v>
      </c>
      <c r="U70" s="90"/>
      <c r="V70" s="90"/>
      <c r="W70" s="90"/>
      <c r="X70" s="90"/>
    </row>
    <row r="71" spans="1:25" ht="18.75" customHeight="1" x14ac:dyDescent="0.3">
      <c r="A71" s="33"/>
      <c r="B71" s="90"/>
      <c r="C71" s="90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90"/>
      <c r="O71" s="90"/>
      <c r="P71" s="90"/>
      <c r="Q71" s="123"/>
      <c r="R71" s="123"/>
      <c r="S71" s="123"/>
      <c r="T71" s="90"/>
      <c r="U71" s="90"/>
      <c r="V71" s="90"/>
      <c r="W71" s="90"/>
      <c r="X71" s="90"/>
    </row>
    <row r="72" spans="1:25" ht="18.75" customHeight="1" x14ac:dyDescent="0.3">
      <c r="A72" s="33"/>
      <c r="B72" s="90"/>
      <c r="C72" s="90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90"/>
      <c r="O72" s="90"/>
      <c r="P72" s="90"/>
      <c r="Q72" s="123"/>
      <c r="R72" s="123"/>
      <c r="S72" s="123"/>
      <c r="T72" s="90"/>
      <c r="U72" s="90"/>
      <c r="V72" s="90"/>
      <c r="W72" s="90"/>
      <c r="X72" s="90"/>
    </row>
    <row r="73" spans="1:25" ht="18.75" customHeight="1" x14ac:dyDescent="0.3">
      <c r="A73" s="33"/>
      <c r="B73" s="90">
        <v>9</v>
      </c>
      <c r="C73" s="90"/>
      <c r="D73" s="121" t="str">
        <f>Зовніш_облиц!B110</f>
        <v>Немає</v>
      </c>
      <c r="E73" s="121"/>
      <c r="F73" s="121"/>
      <c r="G73" s="121"/>
      <c r="H73" s="121"/>
      <c r="I73" s="121"/>
      <c r="J73" s="121"/>
      <c r="K73" s="121"/>
      <c r="L73" s="121"/>
      <c r="M73" s="121"/>
      <c r="N73" s="90">
        <f>Зовніш_облиц!C110</f>
        <v>0</v>
      </c>
      <c r="O73" s="90"/>
      <c r="P73" s="90"/>
      <c r="Q73" s="120">
        <f>IF(N73=0,0,'Вихідні дані'!P39)</f>
        <v>0</v>
      </c>
      <c r="R73" s="90"/>
      <c r="S73" s="90"/>
      <c r="T73" s="90">
        <f>Зовніш_облиц!I110</f>
        <v>1</v>
      </c>
      <c r="U73" s="90"/>
      <c r="V73" s="90"/>
      <c r="W73" s="90"/>
      <c r="X73" s="90"/>
    </row>
    <row r="74" spans="1:25" ht="18.75" customHeight="1" x14ac:dyDescent="0.3">
      <c r="A74" s="33"/>
      <c r="B74" s="90"/>
      <c r="C74" s="90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90"/>
      <c r="O74" s="90"/>
      <c r="P74" s="90"/>
      <c r="Q74" s="120"/>
      <c r="R74" s="90"/>
      <c r="S74" s="90"/>
      <c r="T74" s="90"/>
      <c r="U74" s="90"/>
      <c r="V74" s="90"/>
      <c r="W74" s="90"/>
      <c r="X74" s="90"/>
    </row>
    <row r="75" spans="1:25" ht="18.75" customHeight="1" x14ac:dyDescent="0.3">
      <c r="A75" s="33"/>
      <c r="B75" s="90"/>
      <c r="C75" s="90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90"/>
      <c r="O75" s="90"/>
      <c r="P75" s="90"/>
      <c r="Q75" s="120"/>
      <c r="R75" s="90"/>
      <c r="S75" s="90"/>
      <c r="T75" s="90"/>
      <c r="U75" s="90"/>
      <c r="V75" s="90"/>
      <c r="W75" s="90"/>
      <c r="X75" s="90"/>
    </row>
    <row r="76" spans="1:25" ht="7.2" customHeight="1" x14ac:dyDescent="0.3">
      <c r="A76" s="33"/>
      <c r="B76" s="90">
        <v>10</v>
      </c>
      <c r="C76" s="90"/>
      <c r="D76" s="121" t="str">
        <f>Зовніш_облиц!B111</f>
        <v>Немає</v>
      </c>
      <c r="E76" s="121"/>
      <c r="F76" s="121"/>
      <c r="G76" s="121"/>
      <c r="H76" s="121"/>
      <c r="I76" s="121"/>
      <c r="J76" s="121"/>
      <c r="K76" s="121"/>
      <c r="L76" s="121"/>
      <c r="M76" s="121"/>
      <c r="N76" s="90">
        <f>Зовніш_облиц!C111</f>
        <v>0</v>
      </c>
      <c r="O76" s="90"/>
      <c r="P76" s="90"/>
      <c r="Q76" s="120">
        <f>IF(N76=0,0,'Вихідні дані'!P40)</f>
        <v>0</v>
      </c>
      <c r="R76" s="90"/>
      <c r="S76" s="90"/>
      <c r="T76" s="90">
        <f>Зовніш_облиц!I111</f>
        <v>1</v>
      </c>
      <c r="U76" s="90"/>
      <c r="V76" s="90"/>
      <c r="W76" s="90"/>
      <c r="X76" s="90"/>
    </row>
    <row r="77" spans="1:25" ht="18.75" customHeight="1" x14ac:dyDescent="0.3">
      <c r="A77" s="33"/>
      <c r="B77" s="90"/>
      <c r="C77" s="90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90"/>
      <c r="O77" s="90"/>
      <c r="P77" s="90"/>
      <c r="Q77" s="120"/>
      <c r="R77" s="90"/>
      <c r="S77" s="90"/>
      <c r="T77" s="90"/>
      <c r="U77" s="90"/>
      <c r="V77" s="90"/>
      <c r="W77" s="90"/>
      <c r="X77" s="90"/>
    </row>
    <row r="78" spans="1:25" ht="18.75" customHeight="1" x14ac:dyDescent="0.3">
      <c r="A78" s="33"/>
      <c r="B78" s="90"/>
      <c r="C78" s="90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90"/>
      <c r="O78" s="90"/>
      <c r="P78" s="90"/>
      <c r="Q78" s="120"/>
      <c r="R78" s="90"/>
      <c r="S78" s="90"/>
      <c r="T78" s="90"/>
      <c r="U78" s="90"/>
      <c r="V78" s="90"/>
      <c r="W78" s="90"/>
      <c r="X78" s="90"/>
    </row>
    <row r="79" spans="1:25" ht="18.75" customHeight="1" x14ac:dyDescent="0.3">
      <c r="A79" s="81" t="s">
        <v>82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spans="1:25" ht="18.75" customHeight="1" x14ac:dyDescent="0.3">
      <c r="A80" s="78" t="s">
        <v>22</v>
      </c>
      <c r="B80" s="78"/>
      <c r="C80" s="78"/>
      <c r="D80" s="78" t="str">
        <f>INDEX(Кліматологія!B5:B31,Кліматологія!D32)</f>
        <v>Хмельницький</v>
      </c>
      <c r="E80" s="78"/>
      <c r="F80" s="78"/>
      <c r="G80" s="78"/>
      <c r="H80" s="78"/>
      <c r="I80" s="78"/>
      <c r="J80" s="78"/>
      <c r="K80" s="78"/>
      <c r="L80" s="78" t="s">
        <v>523</v>
      </c>
      <c r="M80" s="78"/>
      <c r="N80" s="78"/>
      <c r="O80" s="78"/>
      <c r="P80" s="78"/>
      <c r="Q80" s="78"/>
      <c r="R80" s="78"/>
      <c r="S80" s="78"/>
      <c r="T80" s="78"/>
      <c r="U80" s="78"/>
      <c r="V80" s="80" t="str">
        <f>INDEX(Кліматологія!C5:C31,Кліматологія!D32)</f>
        <v>І</v>
      </c>
      <c r="W80" s="80"/>
      <c r="X80" s="78" t="s">
        <v>59</v>
      </c>
      <c r="Y80" s="78"/>
    </row>
    <row r="81" spans="1:25" ht="18.75" customHeight="1" x14ac:dyDescent="0.3">
      <c r="A81" s="78" t="s">
        <v>60</v>
      </c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</row>
    <row r="82" spans="1:25" ht="18.75" customHeight="1" x14ac:dyDescent="0.3">
      <c r="A82" s="78" t="s">
        <v>524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</row>
    <row r="83" spans="1:25" x14ac:dyDescent="0.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</row>
    <row r="84" spans="1:25" ht="18.75" customHeight="1" x14ac:dyDescent="0.3">
      <c r="H84" s="78" t="s">
        <v>61</v>
      </c>
      <c r="I84" s="78"/>
      <c r="J84" s="78"/>
      <c r="K84" s="80">
        <f>Кліматологія!D34</f>
        <v>7</v>
      </c>
      <c r="L84" s="80"/>
      <c r="M84" s="80" t="s">
        <v>62</v>
      </c>
      <c r="N84" s="80"/>
      <c r="O84" s="80"/>
      <c r="P84" s="80"/>
    </row>
    <row r="86" spans="1:25" ht="18.75" customHeight="1" x14ac:dyDescent="0.3">
      <c r="A86" s="78" t="s">
        <v>508</v>
      </c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</row>
    <row r="87" spans="1:25" ht="18.75" customHeight="1" x14ac:dyDescent="0.3">
      <c r="A87" s="78" t="s">
        <v>63</v>
      </c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</row>
    <row r="89" spans="1:25" ht="18.75" customHeight="1" x14ac:dyDescent="0.3">
      <c r="F89" s="34"/>
    </row>
    <row r="90" spans="1:25" ht="18.75" customHeight="1" x14ac:dyDescent="0.3">
      <c r="F90" s="34"/>
    </row>
    <row r="91" spans="1:25" x14ac:dyDescent="0.3">
      <c r="F91" s="32"/>
    </row>
    <row r="92" spans="1:25" ht="18.75" customHeight="1" x14ac:dyDescent="0.3">
      <c r="A92" s="78" t="s">
        <v>533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</row>
    <row r="93" spans="1:25" x14ac:dyDescent="0.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</row>
    <row r="96" spans="1:25" ht="18.75" customHeight="1" x14ac:dyDescent="0.3">
      <c r="B96" s="97" t="s">
        <v>66</v>
      </c>
      <c r="C96" s="97"/>
      <c r="D96" s="129" t="s">
        <v>64</v>
      </c>
      <c r="E96" s="97">
        <f>K84</f>
        <v>7</v>
      </c>
      <c r="F96" s="97"/>
      <c r="G96" s="97" t="s">
        <v>65</v>
      </c>
      <c r="H96" s="100">
        <v>1</v>
      </c>
      <c r="I96" s="100"/>
      <c r="J96" s="97" t="s">
        <v>65</v>
      </c>
      <c r="K96" s="109">
        <f>Q43</f>
        <v>0</v>
      </c>
      <c r="L96" s="100"/>
      <c r="M96" s="97" t="s">
        <v>65</v>
      </c>
      <c r="N96" s="109">
        <f>Q46</f>
        <v>0</v>
      </c>
      <c r="O96" s="100"/>
      <c r="P96" s="97" t="s">
        <v>65</v>
      </c>
      <c r="Q96" s="109">
        <f>Q49</f>
        <v>0.03</v>
      </c>
      <c r="R96" s="100"/>
      <c r="S96" s="97" t="s">
        <v>65</v>
      </c>
      <c r="T96" s="109">
        <f>Q52</f>
        <v>0</v>
      </c>
      <c r="U96" s="100"/>
      <c r="V96" s="97" t="s">
        <v>65</v>
      </c>
      <c r="W96" s="109">
        <f>Q55</f>
        <v>0.05</v>
      </c>
      <c r="X96" s="109"/>
    </row>
    <row r="97" spans="1:25" ht="18.75" customHeight="1" x14ac:dyDescent="0.3">
      <c r="B97" s="97"/>
      <c r="C97" s="97"/>
      <c r="D97" s="129"/>
      <c r="E97" s="97"/>
      <c r="F97" s="97"/>
      <c r="G97" s="97"/>
      <c r="H97" s="94">
        <v>8.6999999999999993</v>
      </c>
      <c r="I97" s="94"/>
      <c r="J97" s="97"/>
      <c r="K97" s="94">
        <f>T43</f>
        <v>1</v>
      </c>
      <c r="L97" s="94"/>
      <c r="M97" s="97"/>
      <c r="N97" s="94">
        <f>T46</f>
        <v>1</v>
      </c>
      <c r="O97" s="94"/>
      <c r="P97" s="97"/>
      <c r="Q97" s="94">
        <f>T49</f>
        <v>2.04</v>
      </c>
      <c r="R97" s="94"/>
      <c r="S97" s="97"/>
      <c r="T97" s="94">
        <f>T52</f>
        <v>1</v>
      </c>
      <c r="U97" s="94"/>
      <c r="V97" s="97"/>
      <c r="W97" s="94">
        <f>T55</f>
        <v>0.81</v>
      </c>
      <c r="X97" s="94"/>
    </row>
    <row r="99" spans="1:25" ht="18.75" customHeight="1" x14ac:dyDescent="0.3">
      <c r="A99" s="97" t="s">
        <v>451</v>
      </c>
      <c r="B99" s="131">
        <f>Q58</f>
        <v>2.2000000000000001E-4</v>
      </c>
      <c r="C99" s="131"/>
      <c r="D99" s="97" t="s">
        <v>451</v>
      </c>
      <c r="E99" s="131">
        <f>Q67</f>
        <v>1.5E-3</v>
      </c>
      <c r="F99" s="131"/>
      <c r="G99" s="97" t="s">
        <v>65</v>
      </c>
      <c r="H99" s="109">
        <f>Q70</f>
        <v>0</v>
      </c>
      <c r="I99" s="100"/>
      <c r="J99" s="97" t="s">
        <v>65</v>
      </c>
      <c r="K99" s="109">
        <f>Q73</f>
        <v>0</v>
      </c>
      <c r="L99" s="100"/>
      <c r="M99" s="97" t="s">
        <v>65</v>
      </c>
      <c r="N99" s="109">
        <f>Q76</f>
        <v>0</v>
      </c>
      <c r="O99" s="100"/>
      <c r="P99" s="97" t="s">
        <v>65</v>
      </c>
      <c r="Q99" s="130">
        <v>1</v>
      </c>
      <c r="R99" s="130"/>
      <c r="S99" s="129" t="s">
        <v>67</v>
      </c>
      <c r="T99" s="133" t="s">
        <v>68</v>
      </c>
      <c r="U99" s="97">
        <f>T61</f>
        <v>3.7699999999999997E-2</v>
      </c>
      <c r="V99" s="97"/>
      <c r="W99" s="97"/>
      <c r="X99" s="97" t="s">
        <v>69</v>
      </c>
    </row>
    <row r="100" spans="1:25" ht="18.75" customHeight="1" x14ac:dyDescent="0.3">
      <c r="A100" s="97"/>
      <c r="B100" s="97">
        <f>T58</f>
        <v>0.3</v>
      </c>
      <c r="C100" s="97"/>
      <c r="D100" s="97"/>
      <c r="E100" s="97">
        <f>T67</f>
        <v>0.23</v>
      </c>
      <c r="F100" s="97"/>
      <c r="G100" s="97"/>
      <c r="H100" s="94">
        <f>T70</f>
        <v>1</v>
      </c>
      <c r="I100" s="94"/>
      <c r="J100" s="97"/>
      <c r="K100" s="94">
        <f>T73</f>
        <v>1</v>
      </c>
      <c r="L100" s="94"/>
      <c r="M100" s="97"/>
      <c r="N100" s="94">
        <f>T76</f>
        <v>1</v>
      </c>
      <c r="O100" s="94"/>
      <c r="P100" s="97"/>
      <c r="Q100" s="94">
        <v>23</v>
      </c>
      <c r="R100" s="94"/>
      <c r="S100" s="129"/>
      <c r="T100" s="97"/>
      <c r="U100" s="97"/>
      <c r="V100" s="97"/>
      <c r="W100" s="97"/>
      <c r="X100" s="97"/>
    </row>
    <row r="101" spans="1:25" ht="18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62"/>
      <c r="Q101" s="1"/>
      <c r="R101" s="1"/>
      <c r="S101" s="1"/>
      <c r="T101" s="1"/>
      <c r="U101" s="1"/>
      <c r="V101" s="63"/>
      <c r="W101" s="63"/>
      <c r="X101" s="63"/>
      <c r="Y101" s="1"/>
    </row>
    <row r="102" spans="1:25" ht="18.75" customHeight="1" x14ac:dyDescent="0.3">
      <c r="A102" s="97" t="s">
        <v>69</v>
      </c>
      <c r="B102" s="124">
        <f>(E96-H96/H97-K96/K97-N96/N97-Q96/Q97-T96/T97-W96/W97-B99/B100-E99/E100-H99/H100-K99/K100-N99/N100-Q99/Q100-Q64/T64)*U99</f>
        <v>0.2547724477414669</v>
      </c>
      <c r="C102" s="124"/>
      <c r="D102" s="124"/>
      <c r="E102" s="97" t="s">
        <v>70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U102" s="1"/>
      <c r="V102" s="63"/>
      <c r="W102" s="63"/>
      <c r="X102" s="63"/>
      <c r="Y102" s="1"/>
    </row>
    <row r="103" spans="1:25" ht="18.75" customHeight="1" x14ac:dyDescent="0.3">
      <c r="A103" s="97"/>
      <c r="B103" s="124"/>
      <c r="C103" s="124"/>
      <c r="D103" s="124"/>
      <c r="E103" s="97"/>
      <c r="F103" s="1"/>
      <c r="G103" s="1"/>
      <c r="H103" s="1"/>
      <c r="I103" s="1"/>
      <c r="J103" s="1"/>
      <c r="K103" s="1"/>
      <c r="L103" s="1"/>
      <c r="M103" s="1"/>
      <c r="N103" s="1"/>
      <c r="O103" s="1"/>
      <c r="U103" s="1"/>
      <c r="V103" s="63"/>
      <c r="W103" s="63"/>
      <c r="X103" s="63"/>
      <c r="Y103" s="1"/>
    </row>
    <row r="105" spans="1:25" x14ac:dyDescent="0.3">
      <c r="A105" s="78" t="s">
        <v>534</v>
      </c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</row>
    <row r="106" spans="1:25" ht="18.75" customHeight="1" x14ac:dyDescent="0.3">
      <c r="A106" s="80"/>
      <c r="B106" s="80"/>
      <c r="C106" s="80"/>
      <c r="D106" s="80"/>
      <c r="E106" s="80"/>
      <c r="F106" s="80"/>
      <c r="G106" s="80"/>
      <c r="H106" s="80"/>
      <c r="I106" s="80"/>
      <c r="J106" s="80" t="s">
        <v>71</v>
      </c>
      <c r="K106" s="80"/>
      <c r="L106" s="80"/>
      <c r="M106" s="128">
        <f>ROUNDUP(B102,2)</f>
        <v>0.26</v>
      </c>
      <c r="N106" s="80"/>
      <c r="O106" s="80"/>
      <c r="P106" s="78" t="s">
        <v>70</v>
      </c>
      <c r="Q106" s="78"/>
      <c r="R106" s="32"/>
      <c r="S106" s="32"/>
      <c r="T106" s="32"/>
      <c r="U106" s="32"/>
      <c r="V106" s="32"/>
      <c r="W106" s="32"/>
      <c r="X106" s="32"/>
      <c r="Y106" s="32"/>
    </row>
    <row r="107" spans="1:25" x14ac:dyDescent="0.3">
      <c r="A107" s="78" t="s">
        <v>72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</row>
    <row r="108" spans="1:25" x14ac:dyDescent="0.3">
      <c r="A108" s="78" t="s">
        <v>73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</row>
    <row r="110" spans="1:25" ht="18.75" customHeight="1" x14ac:dyDescent="0.3">
      <c r="A110" s="97" t="s">
        <v>74</v>
      </c>
      <c r="B110" s="97"/>
      <c r="C110" s="100">
        <v>1</v>
      </c>
      <c r="D110" s="100"/>
      <c r="E110" s="97" t="s">
        <v>75</v>
      </c>
      <c r="F110" s="109">
        <f>K96</f>
        <v>0</v>
      </c>
      <c r="G110" s="100"/>
      <c r="H110" s="97" t="s">
        <v>75</v>
      </c>
      <c r="I110" s="109">
        <f>N96</f>
        <v>0</v>
      </c>
      <c r="J110" s="100"/>
      <c r="K110" s="97" t="s">
        <v>75</v>
      </c>
      <c r="L110" s="109">
        <f>Q96</f>
        <v>0.03</v>
      </c>
      <c r="M110" s="100"/>
      <c r="N110" s="97" t="s">
        <v>75</v>
      </c>
      <c r="O110" s="109">
        <f>T96</f>
        <v>0</v>
      </c>
      <c r="P110" s="100"/>
      <c r="Q110" s="97" t="s">
        <v>75</v>
      </c>
      <c r="R110" s="109">
        <f>W96</f>
        <v>0.05</v>
      </c>
      <c r="S110" s="100"/>
      <c r="T110" s="97" t="s">
        <v>75</v>
      </c>
      <c r="U110" s="109">
        <f>B99</f>
        <v>2.2000000000000001E-4</v>
      </c>
      <c r="V110" s="100"/>
      <c r="W110" s="97" t="s">
        <v>75</v>
      </c>
    </row>
    <row r="111" spans="1:25" ht="18.75" customHeight="1" x14ac:dyDescent="0.3">
      <c r="A111" s="97"/>
      <c r="B111" s="97"/>
      <c r="C111" s="94">
        <v>8.6999999999999993</v>
      </c>
      <c r="D111" s="94"/>
      <c r="E111" s="97"/>
      <c r="F111" s="94">
        <f>K97</f>
        <v>1</v>
      </c>
      <c r="G111" s="94"/>
      <c r="H111" s="97"/>
      <c r="I111" s="94">
        <f>N97</f>
        <v>1</v>
      </c>
      <c r="J111" s="94"/>
      <c r="K111" s="97"/>
      <c r="L111" s="94">
        <f>Q97</f>
        <v>2.04</v>
      </c>
      <c r="M111" s="94"/>
      <c r="N111" s="97"/>
      <c r="O111" s="94">
        <f>T97</f>
        <v>1</v>
      </c>
      <c r="P111" s="94"/>
      <c r="Q111" s="97"/>
      <c r="R111" s="94">
        <f>W97</f>
        <v>0.81</v>
      </c>
      <c r="S111" s="94"/>
      <c r="T111" s="97"/>
      <c r="U111" s="94">
        <f>B100</f>
        <v>0.3</v>
      </c>
      <c r="V111" s="94"/>
      <c r="W111" s="97"/>
    </row>
    <row r="113" spans="1:25" ht="18.75" customHeight="1" x14ac:dyDescent="0.3">
      <c r="A113" s="97" t="s">
        <v>75</v>
      </c>
      <c r="B113" s="122">
        <f>E99</f>
        <v>1.5E-3</v>
      </c>
      <c r="C113" s="100"/>
      <c r="D113" s="97" t="s">
        <v>75</v>
      </c>
      <c r="E113" s="122">
        <f>H99</f>
        <v>0</v>
      </c>
      <c r="F113" s="100"/>
      <c r="G113" s="97" t="s">
        <v>75</v>
      </c>
      <c r="H113" s="122">
        <f>K99</f>
        <v>0</v>
      </c>
      <c r="I113" s="100"/>
      <c r="J113" s="97" t="s">
        <v>75</v>
      </c>
      <c r="K113" s="122">
        <f>N99</f>
        <v>0</v>
      </c>
      <c r="L113" s="100"/>
      <c r="M113" s="97" t="s">
        <v>75</v>
      </c>
      <c r="N113" s="122">
        <f>M106</f>
        <v>0.26</v>
      </c>
      <c r="O113" s="100"/>
      <c r="P113" s="97" t="s">
        <v>75</v>
      </c>
      <c r="Q113" s="109">
        <f>Q64</f>
        <v>0</v>
      </c>
      <c r="R113" s="100"/>
      <c r="S113" s="97" t="s">
        <v>531</v>
      </c>
      <c r="T113" s="100">
        <v>1</v>
      </c>
      <c r="U113" s="100"/>
      <c r="V113" s="106" t="s">
        <v>532</v>
      </c>
      <c r="W113" s="97">
        <f>C110/C111+F110/F111+I110/I111+L110/L111+O110/O111+R110/R111+U110/U111+B113/B114+E113/E114+H113/H114+K113/K114+N113/N114+Q113/Q114+T113/T114</f>
        <v>7.1386618636215671</v>
      </c>
      <c r="X113" s="97"/>
      <c r="Y113" s="97"/>
    </row>
    <row r="114" spans="1:25" x14ac:dyDescent="0.3">
      <c r="A114" s="97"/>
      <c r="B114" s="94">
        <f>E100</f>
        <v>0.23</v>
      </c>
      <c r="C114" s="94"/>
      <c r="D114" s="97"/>
      <c r="E114" s="94">
        <f>H100</f>
        <v>1</v>
      </c>
      <c r="F114" s="94"/>
      <c r="G114" s="97"/>
      <c r="H114" s="94">
        <f>K100</f>
        <v>1</v>
      </c>
      <c r="I114" s="94"/>
      <c r="J114" s="97"/>
      <c r="K114" s="94">
        <f>N100</f>
        <v>1</v>
      </c>
      <c r="L114" s="94"/>
      <c r="M114" s="97"/>
      <c r="N114" s="132">
        <f>U99</f>
        <v>3.7699999999999997E-2</v>
      </c>
      <c r="O114" s="132"/>
      <c r="P114" s="97"/>
      <c r="Q114" s="134">
        <f>T64</f>
        <v>1</v>
      </c>
      <c r="R114" s="134"/>
      <c r="S114" s="97"/>
      <c r="T114" s="94">
        <v>23</v>
      </c>
      <c r="U114" s="94"/>
      <c r="V114" s="106"/>
      <c r="W114" s="97"/>
      <c r="X114" s="97"/>
      <c r="Y114" s="97"/>
    </row>
    <row r="116" spans="1:25" ht="18.75" customHeight="1" x14ac:dyDescent="0.3">
      <c r="A116" s="78" t="s">
        <v>509</v>
      </c>
      <c r="B116" s="78"/>
      <c r="C116" s="78"/>
      <c r="D116" s="78"/>
      <c r="E116" s="78"/>
      <c r="F116" s="78"/>
      <c r="G116" s="126">
        <f>W113</f>
        <v>7.1386618636215671</v>
      </c>
      <c r="H116" s="80"/>
      <c r="I116" s="39" t="s">
        <v>97</v>
      </c>
      <c r="J116" s="78" t="s">
        <v>99</v>
      </c>
      <c r="K116" s="78"/>
      <c r="L116" s="78"/>
      <c r="M116" s="80">
        <f>K84</f>
        <v>7</v>
      </c>
      <c r="N116" s="80"/>
      <c r="O116" s="80" t="s">
        <v>100</v>
      </c>
      <c r="P116" s="80"/>
      <c r="Q116" s="80"/>
      <c r="R116" s="78" t="s">
        <v>98</v>
      </c>
      <c r="S116" s="78"/>
      <c r="T116" s="78"/>
      <c r="U116" s="78"/>
      <c r="V116" s="78"/>
      <c r="W116" s="78"/>
      <c r="X116" s="78"/>
      <c r="Y116" s="78"/>
    </row>
    <row r="119" spans="1:25" x14ac:dyDescent="0.3">
      <c r="A119" s="81" t="s">
        <v>101</v>
      </c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</row>
    <row r="120" spans="1:25" ht="18.75" customHeight="1" x14ac:dyDescent="0.3">
      <c r="B120" s="125" t="s">
        <v>522</v>
      </c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68"/>
    </row>
    <row r="121" spans="1:25" ht="18.75" customHeight="1" x14ac:dyDescent="0.3">
      <c r="B121" s="68" t="s">
        <v>90</v>
      </c>
      <c r="C121" s="125" t="s">
        <v>537</v>
      </c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</row>
    <row r="122" spans="1:25" ht="18.75" customHeight="1" x14ac:dyDescent="0.3">
      <c r="B122" s="68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</row>
    <row r="123" spans="1:25" ht="18.75" customHeight="1" x14ac:dyDescent="0.3">
      <c r="B123" s="125" t="s">
        <v>535</v>
      </c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68"/>
    </row>
    <row r="124" spans="1:25" x14ac:dyDescent="0.3"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</row>
  </sheetData>
  <mergeCells count="216">
    <mergeCell ref="T110:T111"/>
    <mergeCell ref="T99:T100"/>
    <mergeCell ref="N110:N111"/>
    <mergeCell ref="Q110:Q111"/>
    <mergeCell ref="O111:P111"/>
    <mergeCell ref="G113:G114"/>
    <mergeCell ref="E113:F113"/>
    <mergeCell ref="E114:F114"/>
    <mergeCell ref="F110:G110"/>
    <mergeCell ref="H110:H111"/>
    <mergeCell ref="F111:G111"/>
    <mergeCell ref="I110:J110"/>
    <mergeCell ref="K110:K111"/>
    <mergeCell ref="I111:J111"/>
    <mergeCell ref="J99:J100"/>
    <mergeCell ref="H99:I99"/>
    <mergeCell ref="H100:I100"/>
    <mergeCell ref="Q113:R113"/>
    <mergeCell ref="Q114:R114"/>
    <mergeCell ref="S113:S114"/>
    <mergeCell ref="L110:M110"/>
    <mergeCell ref="H113:I113"/>
    <mergeCell ref="H114:I114"/>
    <mergeCell ref="K113:L113"/>
    <mergeCell ref="J15:L15"/>
    <mergeCell ref="M15:N15"/>
    <mergeCell ref="R14:S14"/>
    <mergeCell ref="D49:M51"/>
    <mergeCell ref="D52:M54"/>
    <mergeCell ref="D55:M57"/>
    <mergeCell ref="E110:E111"/>
    <mergeCell ref="N113:O113"/>
    <mergeCell ref="P113:P114"/>
    <mergeCell ref="N114:O114"/>
    <mergeCell ref="R111:S111"/>
    <mergeCell ref="A87:Y87"/>
    <mergeCell ref="A92:Y92"/>
    <mergeCell ref="Q70:S72"/>
    <mergeCell ref="T70:X72"/>
    <mergeCell ref="X99:X100"/>
    <mergeCell ref="K114:L114"/>
    <mergeCell ref="J113:J114"/>
    <mergeCell ref="M113:M114"/>
    <mergeCell ref="T76:X78"/>
    <mergeCell ref="A105:Y105"/>
    <mergeCell ref="A106:I106"/>
    <mergeCell ref="A99:A100"/>
    <mergeCell ref="E96:F97"/>
    <mergeCell ref="B43:C45"/>
    <mergeCell ref="A11:G11"/>
    <mergeCell ref="A13:H13"/>
    <mergeCell ref="B46:C48"/>
    <mergeCell ref="B49:C51"/>
    <mergeCell ref="B52:C54"/>
    <mergeCell ref="B55:C57"/>
    <mergeCell ref="T49:X51"/>
    <mergeCell ref="T41:X42"/>
    <mergeCell ref="A12:C12"/>
    <mergeCell ref="A14:O14"/>
    <mergeCell ref="A15:I15"/>
    <mergeCell ref="A38:Y38"/>
    <mergeCell ref="A16:Y16"/>
    <mergeCell ref="A17:Y17"/>
    <mergeCell ref="A18:Y18"/>
    <mergeCell ref="A19:Y19"/>
    <mergeCell ref="A20:Y20"/>
    <mergeCell ref="B40:Q40"/>
    <mergeCell ref="B41:C42"/>
    <mergeCell ref="Q41:S42"/>
    <mergeCell ref="N41:P42"/>
    <mergeCell ref="D41:M42"/>
    <mergeCell ref="P14:Q14"/>
    <mergeCell ref="B99:C99"/>
    <mergeCell ref="B100:C100"/>
    <mergeCell ref="N99:O99"/>
    <mergeCell ref="N100:O100"/>
    <mergeCell ref="P99:P100"/>
    <mergeCell ref="G99:G100"/>
    <mergeCell ref="K99:L99"/>
    <mergeCell ref="K100:L100"/>
    <mergeCell ref="A3:Y4"/>
    <mergeCell ref="A79:Y79"/>
    <mergeCell ref="A81:Y81"/>
    <mergeCell ref="A82:Y82"/>
    <mergeCell ref="P96:P97"/>
    <mergeCell ref="B96:C97"/>
    <mergeCell ref="G96:G97"/>
    <mergeCell ref="J96:J97"/>
    <mergeCell ref="M96:M97"/>
    <mergeCell ref="H96:I96"/>
    <mergeCell ref="H97:I97"/>
    <mergeCell ref="K96:L96"/>
    <mergeCell ref="K97:L97"/>
    <mergeCell ref="H84:J84"/>
    <mergeCell ref="M84:P84"/>
    <mergeCell ref="A86:Y86"/>
    <mergeCell ref="S99:S100"/>
    <mergeCell ref="M99:M100"/>
    <mergeCell ref="D96:D97"/>
    <mergeCell ref="N96:O96"/>
    <mergeCell ref="N97:O97"/>
    <mergeCell ref="Q96:R96"/>
    <mergeCell ref="Q97:R97"/>
    <mergeCell ref="Q99:R99"/>
    <mergeCell ref="Q100:R100"/>
    <mergeCell ref="E100:F100"/>
    <mergeCell ref="S96:S97"/>
    <mergeCell ref="D99:D100"/>
    <mergeCell ref="E99:F99"/>
    <mergeCell ref="T46:X48"/>
    <mergeCell ref="T52:X54"/>
    <mergeCell ref="N55:P57"/>
    <mergeCell ref="Q55:S57"/>
    <mergeCell ref="T55:X57"/>
    <mergeCell ref="T96:U96"/>
    <mergeCell ref="V96:V97"/>
    <mergeCell ref="T97:U97"/>
    <mergeCell ref="L111:M111"/>
    <mergeCell ref="O110:P110"/>
    <mergeCell ref="M106:O106"/>
    <mergeCell ref="P106:Q106"/>
    <mergeCell ref="A107:Y107"/>
    <mergeCell ref="A108:Y108"/>
    <mergeCell ref="A110:B111"/>
    <mergeCell ref="K84:L84"/>
    <mergeCell ref="N52:P54"/>
    <mergeCell ref="Q52:S54"/>
    <mergeCell ref="D46:M48"/>
    <mergeCell ref="N46:P48"/>
    <mergeCell ref="C110:D110"/>
    <mergeCell ref="C111:D111"/>
    <mergeCell ref="T58:X60"/>
    <mergeCell ref="T61:X63"/>
    <mergeCell ref="T43:X45"/>
    <mergeCell ref="X80:Y80"/>
    <mergeCell ref="V80:W80"/>
    <mergeCell ref="L80:U80"/>
    <mergeCell ref="E5:Y5"/>
    <mergeCell ref="E6:Y6"/>
    <mergeCell ref="A10:C10"/>
    <mergeCell ref="D10:Y10"/>
    <mergeCell ref="H11:Y11"/>
    <mergeCell ref="D12:Y12"/>
    <mergeCell ref="I13:Y13"/>
    <mergeCell ref="A7:C7"/>
    <mergeCell ref="D7:H7"/>
    <mergeCell ref="A5:D5"/>
    <mergeCell ref="A6:D6"/>
    <mergeCell ref="A9:Y9"/>
    <mergeCell ref="A80:C80"/>
    <mergeCell ref="D80:K80"/>
    <mergeCell ref="N43:P45"/>
    <mergeCell ref="Q43:S45"/>
    <mergeCell ref="D43:M45"/>
    <mergeCell ref="Q46:S48"/>
    <mergeCell ref="N49:P51"/>
    <mergeCell ref="Q49:S51"/>
    <mergeCell ref="A119:Y119"/>
    <mergeCell ref="O116:Q116"/>
    <mergeCell ref="R116:Y116"/>
    <mergeCell ref="B124:Y124"/>
    <mergeCell ref="A116:F116"/>
    <mergeCell ref="G116:H116"/>
    <mergeCell ref="J116:L116"/>
    <mergeCell ref="M116:N116"/>
    <mergeCell ref="C121:Y122"/>
    <mergeCell ref="B120:X120"/>
    <mergeCell ref="B123:X123"/>
    <mergeCell ref="A113:A114"/>
    <mergeCell ref="B113:C113"/>
    <mergeCell ref="B114:C114"/>
    <mergeCell ref="R110:S110"/>
    <mergeCell ref="B58:C60"/>
    <mergeCell ref="D58:M60"/>
    <mergeCell ref="N58:P60"/>
    <mergeCell ref="Q58:S60"/>
    <mergeCell ref="D61:M63"/>
    <mergeCell ref="N61:P63"/>
    <mergeCell ref="Q61:S63"/>
    <mergeCell ref="B76:C78"/>
    <mergeCell ref="D76:M78"/>
    <mergeCell ref="N76:P78"/>
    <mergeCell ref="Q76:S78"/>
    <mergeCell ref="B67:C69"/>
    <mergeCell ref="D67:M69"/>
    <mergeCell ref="N67:P69"/>
    <mergeCell ref="Q67:S69"/>
    <mergeCell ref="B73:C75"/>
    <mergeCell ref="D73:M75"/>
    <mergeCell ref="N73:P75"/>
    <mergeCell ref="A102:A103"/>
    <mergeCell ref="B102:D103"/>
    <mergeCell ref="T64:X66"/>
    <mergeCell ref="Q64:S66"/>
    <mergeCell ref="N64:P66"/>
    <mergeCell ref="D64:M66"/>
    <mergeCell ref="B61:C66"/>
    <mergeCell ref="T113:U113"/>
    <mergeCell ref="T114:U114"/>
    <mergeCell ref="V113:V114"/>
    <mergeCell ref="D113:D114"/>
    <mergeCell ref="E102:E103"/>
    <mergeCell ref="W110:W111"/>
    <mergeCell ref="U110:V110"/>
    <mergeCell ref="U111:V111"/>
    <mergeCell ref="T67:X69"/>
    <mergeCell ref="Q73:S75"/>
    <mergeCell ref="T73:X75"/>
    <mergeCell ref="W96:X96"/>
    <mergeCell ref="W97:X97"/>
    <mergeCell ref="U99:W100"/>
    <mergeCell ref="J106:L106"/>
    <mergeCell ref="W113:Y114"/>
    <mergeCell ref="B70:C72"/>
    <mergeCell ref="D70:M72"/>
    <mergeCell ref="N70:P72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5121" r:id="rId4">
          <objectPr defaultSize="0" autoPict="0" r:id="rId5">
            <anchor moveWithCells="1" sizeWithCells="1">
              <from>
                <xdr:col>1</xdr:col>
                <xdr:colOff>160020</xdr:colOff>
                <xdr:row>87</xdr:row>
                <xdr:rowOff>160020</xdr:rowOff>
              </from>
              <to>
                <xdr:col>22</xdr:col>
                <xdr:colOff>83820</xdr:colOff>
                <xdr:row>90</xdr:row>
                <xdr:rowOff>30480</xdr:rowOff>
              </to>
            </anchor>
          </objectPr>
        </oleObject>
      </mc:Choice>
      <mc:Fallback>
        <oleObject progId="Equation.3" shapeId="5121" r:id="rId4"/>
      </mc:Fallback>
    </mc:AlternateContent>
    <mc:AlternateContent xmlns:mc="http://schemas.openxmlformats.org/markup-compatibility/2006">
      <mc:Choice Requires="x14">
        <oleObject progId="Equation.3" shapeId="5122" r:id="rId6">
          <objectPr defaultSize="0" autoPict="0" r:id="rId7">
            <anchor moveWithCells="1" sizeWithCells="1">
              <from>
                <xdr:col>2</xdr:col>
                <xdr:colOff>137160</xdr:colOff>
                <xdr:row>92</xdr:row>
                <xdr:rowOff>76200</xdr:rowOff>
              </from>
              <to>
                <xdr:col>22</xdr:col>
                <xdr:colOff>160020</xdr:colOff>
                <xdr:row>94</xdr:row>
                <xdr:rowOff>220980</xdr:rowOff>
              </to>
            </anchor>
          </objectPr>
        </oleObject>
      </mc:Choice>
      <mc:Fallback>
        <oleObject progId="Equation.3" shapeId="5122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7</vt:i4>
      </vt:variant>
    </vt:vector>
  </HeadingPairs>
  <TitlesOfParts>
    <vt:vector size="17" baseType="lpstr">
      <vt:lpstr>Вихідні дані</vt:lpstr>
      <vt:lpstr>Облицювання</vt:lpstr>
      <vt:lpstr>Несуча_покриття</vt:lpstr>
      <vt:lpstr>Ухил</vt:lpstr>
      <vt:lpstr>Гидроіз</vt:lpstr>
      <vt:lpstr>Утеплювач</vt:lpstr>
      <vt:lpstr>Зовніш_облиц</vt:lpstr>
      <vt:lpstr>Л_ДБН</vt:lpstr>
      <vt:lpstr>Кліматологія</vt:lpstr>
      <vt:lpstr>Пояснювальна</vt:lpstr>
      <vt:lpstr>Гидроіз!OLE_LINK1</vt:lpstr>
      <vt:lpstr>Зовніш_облиц!OLE_LINK1</vt:lpstr>
      <vt:lpstr>Л_ДБН!OLE_LINK1</vt:lpstr>
      <vt:lpstr>Несуча_покриття!OLE_LINK1</vt:lpstr>
      <vt:lpstr>Облицювання!OLE_LINK1</vt:lpstr>
      <vt:lpstr>Утеплювач!OLE_LINK1</vt:lpstr>
      <vt:lpstr>Ухил!OLE_LINK1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Сугак</dc:creator>
  <cp:lastModifiedBy>Дарья Журило</cp:lastModifiedBy>
  <cp:lastPrinted>2024-09-24T08:50:35Z</cp:lastPrinted>
  <dcterms:created xsi:type="dcterms:W3CDTF">2013-02-13T08:26:14Z</dcterms:created>
  <dcterms:modified xsi:type="dcterms:W3CDTF">2024-09-24T09:16:41Z</dcterms:modified>
</cp:coreProperties>
</file>