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zhurilo\Desktop\КАЛЬК\"/>
    </mc:Choice>
  </mc:AlternateContent>
  <xr:revisionPtr revIDLastSave="0" documentId="13_ncr:1_{7F02FE96-DC16-4EA2-855F-BABF3659CA4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Расчет" sheetId="3" r:id="rId1"/>
    <sheet name="пересчет" sheetId="11" state="hidden" r:id="rId2"/>
    <sheet name="Программа" sheetId="5" state="hidden" r:id="rId3"/>
    <sheet name="ТМ Asko" sheetId="6" state="hidden" r:id="rId4"/>
    <sheet name="ТМ Соффит" sheetId="7" state="hidden" r:id="rId5"/>
    <sheet name="ТМ айДахо" sheetId="9" state="hidden" r:id="rId6"/>
    <sheet name="мінімальний запас " sheetId="10" r:id="rId7"/>
    <sheet name="Аркуш2" sheetId="12" state="hidden" r:id="rId8"/>
    <sheet name="Как включить макрос" sheetId="8" state="hidden" r:id="rId9"/>
  </sheets>
  <definedNames>
    <definedName name="_xleta.FLOOR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E5" i="3"/>
  <c r="D5" i="3"/>
  <c r="J29" i="3"/>
  <c r="J27" i="3"/>
  <c r="J25" i="3"/>
  <c r="J23" i="3"/>
  <c r="J21" i="3"/>
  <c r="J19" i="3"/>
  <c r="J17" i="3"/>
  <c r="J15" i="3"/>
  <c r="J13" i="3"/>
  <c r="J11" i="3"/>
  <c r="J9" i="3"/>
  <c r="J7" i="3"/>
  <c r="J5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A60" i="11" a="1"/>
  <c r="A60" i="11" s="1"/>
  <c r="B18" i="10" s="1"/>
  <c r="AK42" i="11"/>
  <c r="B4" i="10" l="1"/>
  <c r="B11" i="10"/>
  <c r="D6" i="11" l="1" a="1"/>
  <c r="D6" i="11" s="1"/>
  <c r="H6" i="11" a="1"/>
  <c r="H6" i="11" s="1"/>
  <c r="F6" i="11" a="1"/>
  <c r="F6" i="11" s="1"/>
  <c r="C6" i="11" a="1"/>
  <c r="C6" i="11" s="1"/>
  <c r="B6" i="11" l="1"/>
  <c r="I37" i="11"/>
  <c r="C37" i="11"/>
  <c r="J36" i="11"/>
  <c r="I36" i="11"/>
  <c r="E36" i="11"/>
  <c r="C36" i="11"/>
  <c r="I35" i="11"/>
  <c r="C35" i="11"/>
  <c r="J34" i="11"/>
  <c r="I34" i="11"/>
  <c r="C34" i="11"/>
  <c r="I33" i="11"/>
  <c r="E33" i="11"/>
  <c r="C33" i="11"/>
  <c r="J32" i="11"/>
  <c r="I32" i="11"/>
  <c r="C32" i="11"/>
  <c r="I31" i="11"/>
  <c r="D31" i="11"/>
  <c r="K31" i="11" s="1"/>
  <c r="B31" i="11" s="1"/>
  <c r="C31" i="11"/>
  <c r="J30" i="11"/>
  <c r="I30" i="11"/>
  <c r="C30" i="11"/>
  <c r="I29" i="11"/>
  <c r="C29" i="11"/>
  <c r="J28" i="11"/>
  <c r="I28" i="11"/>
  <c r="C28" i="11"/>
  <c r="I27" i="11"/>
  <c r="C27" i="11"/>
  <c r="J26" i="11"/>
  <c r="I26" i="11"/>
  <c r="E26" i="11"/>
  <c r="C26" i="11"/>
  <c r="I25" i="11"/>
  <c r="C25" i="11"/>
  <c r="J24" i="11"/>
  <c r="I24" i="11"/>
  <c r="D24" i="11"/>
  <c r="K24" i="11" s="1"/>
  <c r="B24" i="11" s="1"/>
  <c r="C24" i="11"/>
  <c r="I23" i="11"/>
  <c r="C23" i="11"/>
  <c r="J22" i="11"/>
  <c r="I22" i="11"/>
  <c r="C22" i="11"/>
  <c r="I21" i="11"/>
  <c r="C21" i="11"/>
  <c r="J20" i="11"/>
  <c r="I20" i="11"/>
  <c r="E20" i="11"/>
  <c r="C20" i="11"/>
  <c r="I19" i="11"/>
  <c r="C19" i="11"/>
  <c r="J18" i="11"/>
  <c r="I18" i="11"/>
  <c r="C18" i="11"/>
  <c r="I17" i="11"/>
  <c r="E17" i="11"/>
  <c r="C17" i="11"/>
  <c r="J16" i="11"/>
  <c r="I16" i="11"/>
  <c r="C16" i="11"/>
  <c r="I15" i="11"/>
  <c r="D15" i="11"/>
  <c r="K15" i="11" s="1"/>
  <c r="B15" i="11" s="1"/>
  <c r="C15" i="11"/>
  <c r="J14" i="11"/>
  <c r="I14" i="11"/>
  <c r="C14" i="11"/>
  <c r="I13" i="11"/>
  <c r="E13" i="11"/>
  <c r="C13" i="11"/>
  <c r="A13" i="1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J12" i="11"/>
  <c r="I12" i="11"/>
  <c r="E12" i="11"/>
  <c r="D12" i="11"/>
  <c r="C12" i="11"/>
  <c r="E14" i="11"/>
  <c r="E15" i="11"/>
  <c r="E16" i="11"/>
  <c r="E18" i="11"/>
  <c r="E19" i="11"/>
  <c r="E21" i="11"/>
  <c r="E22" i="11"/>
  <c r="E23" i="11"/>
  <c r="E24" i="11"/>
  <c r="E25" i="11"/>
  <c r="E27" i="11"/>
  <c r="E28" i="11"/>
  <c r="E29" i="11"/>
  <c r="E30" i="11"/>
  <c r="E31" i="11"/>
  <c r="E32" i="11"/>
  <c r="E34" i="11"/>
  <c r="E35" i="11"/>
  <c r="E37" i="11"/>
  <c r="D13" i="11"/>
  <c r="K13" i="11" s="1"/>
  <c r="B13" i="11" s="1"/>
  <c r="D14" i="11"/>
  <c r="K14" i="11" s="1"/>
  <c r="B14" i="11" s="1"/>
  <c r="D16" i="11"/>
  <c r="K16" i="11" s="1"/>
  <c r="B16" i="11" s="1"/>
  <c r="D17" i="11"/>
  <c r="K17" i="11" s="1"/>
  <c r="B17" i="11" s="1"/>
  <c r="D18" i="11"/>
  <c r="K18" i="11" s="1"/>
  <c r="B18" i="11" s="1"/>
  <c r="D19" i="11"/>
  <c r="K19" i="11" s="1"/>
  <c r="B19" i="11" s="1"/>
  <c r="D20" i="11"/>
  <c r="K20" i="11" s="1"/>
  <c r="B20" i="11" s="1"/>
  <c r="D21" i="11"/>
  <c r="K21" i="11" s="1"/>
  <c r="B21" i="11" s="1"/>
  <c r="D22" i="11"/>
  <c r="K22" i="11" s="1"/>
  <c r="B22" i="11" s="1"/>
  <c r="D23" i="11"/>
  <c r="K23" i="11" s="1"/>
  <c r="B23" i="11" s="1"/>
  <c r="D25" i="11"/>
  <c r="K25" i="11" s="1"/>
  <c r="B25" i="11" s="1"/>
  <c r="D26" i="11"/>
  <c r="K26" i="11" s="1"/>
  <c r="B26" i="11" s="1"/>
  <c r="D27" i="11"/>
  <c r="K27" i="11" s="1"/>
  <c r="B27" i="11" s="1"/>
  <c r="D28" i="11"/>
  <c r="K28" i="11" s="1"/>
  <c r="B28" i="11" s="1"/>
  <c r="D29" i="11"/>
  <c r="K29" i="11" s="1"/>
  <c r="B29" i="11" s="1"/>
  <c r="D30" i="11"/>
  <c r="K30" i="11" s="1"/>
  <c r="B30" i="11" s="1"/>
  <c r="D32" i="11"/>
  <c r="K32" i="11" s="1"/>
  <c r="B32" i="11" s="1"/>
  <c r="D33" i="11"/>
  <c r="K33" i="11" s="1"/>
  <c r="B33" i="11" s="1"/>
  <c r="D34" i="11"/>
  <c r="K34" i="11" s="1"/>
  <c r="B34" i="11" s="1"/>
  <c r="D35" i="11"/>
  <c r="K35" i="11" s="1"/>
  <c r="B35" i="11" s="1"/>
  <c r="D36" i="11"/>
  <c r="K36" i="11" s="1"/>
  <c r="B36" i="11" s="1"/>
  <c r="D37" i="11"/>
  <c r="K37" i="11" s="1"/>
  <c r="B37" i="11" s="1"/>
  <c r="AP12" i="11" l="1"/>
  <c r="J42" i="11"/>
  <c r="AJ12" i="11"/>
  <c r="L18" i="11"/>
  <c r="L21" i="11"/>
  <c r="L16" i="11"/>
  <c r="L13" i="11"/>
  <c r="L17" i="11"/>
  <c r="M15" i="11"/>
  <c r="M24" i="11"/>
  <c r="K12" i="11"/>
  <c r="B12" i="11" s="1"/>
  <c r="L12" i="11" s="1"/>
  <c r="AM12" i="11" s="1"/>
  <c r="L15" i="11"/>
  <c r="L14" i="11"/>
  <c r="L30" i="11"/>
  <c r="M13" i="11"/>
  <c r="AF13" i="11" s="1"/>
  <c r="L37" i="11"/>
  <c r="L35" i="11"/>
  <c r="L36" i="11"/>
  <c r="L34" i="11"/>
  <c r="L33" i="11"/>
  <c r="L32" i="11"/>
  <c r="M22" i="11"/>
  <c r="M33" i="11"/>
  <c r="L31" i="11"/>
  <c r="L29" i="11"/>
  <c r="L28" i="11"/>
  <c r="L27" i="11"/>
  <c r="M29" i="11"/>
  <c r="L26" i="11"/>
  <c r="L25" i="11"/>
  <c r="L24" i="11"/>
  <c r="L23" i="11"/>
  <c r="L22" i="11"/>
  <c r="L20" i="11"/>
  <c r="L19" i="11"/>
  <c r="M26" i="11"/>
  <c r="M19" i="11"/>
  <c r="M28" i="11"/>
  <c r="M14" i="11"/>
  <c r="M21" i="11"/>
  <c r="M30" i="11"/>
  <c r="M37" i="11"/>
  <c r="M16" i="11"/>
  <c r="M23" i="11"/>
  <c r="M32" i="11"/>
  <c r="M18" i="11"/>
  <c r="M25" i="11"/>
  <c r="M34" i="11"/>
  <c r="M20" i="11"/>
  <c r="M27" i="11"/>
  <c r="M36" i="11"/>
  <c r="M35" i="11"/>
  <c r="M31" i="11"/>
  <c r="M17" i="11"/>
  <c r="AP20" i="11"/>
  <c r="AI17" i="11"/>
  <c r="AI20" i="11"/>
  <c r="AP32" i="11"/>
  <c r="AP26" i="11"/>
  <c r="AI15" i="11"/>
  <c r="AP24" i="11"/>
  <c r="AP28" i="11"/>
  <c r="AP34" i="11"/>
  <c r="AI13" i="11"/>
  <c r="AP36" i="11"/>
  <c r="AP16" i="11"/>
  <c r="AI18" i="11"/>
  <c r="AP22" i="11"/>
  <c r="AP14" i="11"/>
  <c r="AP18" i="11"/>
  <c r="AP30" i="11"/>
  <c r="AI27" i="11"/>
  <c r="AI21" i="11"/>
  <c r="AI35" i="11"/>
  <c r="AI36" i="11"/>
  <c r="AI23" i="11"/>
  <c r="AI30" i="11"/>
  <c r="AI24" i="11"/>
  <c r="AI33" i="11"/>
  <c r="AI28" i="11"/>
  <c r="AI37" i="11"/>
  <c r="AI25" i="11"/>
  <c r="AI32" i="11"/>
  <c r="AI29" i="11"/>
  <c r="AI22" i="11"/>
  <c r="AI31" i="11"/>
  <c r="AI14" i="11"/>
  <c r="AI16" i="11"/>
  <c r="AI19" i="11"/>
  <c r="AI26" i="11"/>
  <c r="AI34" i="11"/>
  <c r="J2" i="5"/>
  <c r="AF20" i="11" l="1"/>
  <c r="AN20" i="11"/>
  <c r="AF30" i="11"/>
  <c r="AN30" i="11"/>
  <c r="W22" i="11"/>
  <c r="AM22" i="11"/>
  <c r="W29" i="11"/>
  <c r="AM29" i="11"/>
  <c r="W35" i="11"/>
  <c r="AM35" i="11"/>
  <c r="AF24" i="11"/>
  <c r="AN24" i="11"/>
  <c r="AN34" i="11"/>
  <c r="AF34" i="11"/>
  <c r="AF21" i="11"/>
  <c r="AN21" i="11"/>
  <c r="W23" i="11"/>
  <c r="AM23" i="11"/>
  <c r="W31" i="11"/>
  <c r="AM31" i="11"/>
  <c r="W37" i="11"/>
  <c r="AM37" i="11"/>
  <c r="AF15" i="11"/>
  <c r="AN15" i="11"/>
  <c r="AN25" i="11"/>
  <c r="AF25" i="11"/>
  <c r="AF14" i="11"/>
  <c r="AN14" i="11"/>
  <c r="W24" i="11"/>
  <c r="AM24" i="11"/>
  <c r="AN33" i="11"/>
  <c r="AF33" i="11"/>
  <c r="AN13" i="11"/>
  <c r="W17" i="11"/>
  <c r="AM17" i="11"/>
  <c r="AN17" i="11"/>
  <c r="AF17" i="11"/>
  <c r="AN18" i="11"/>
  <c r="AF18" i="11"/>
  <c r="AF28" i="11"/>
  <c r="AN28" i="11"/>
  <c r="W25" i="11"/>
  <c r="AM25" i="11"/>
  <c r="AF22" i="11"/>
  <c r="AN22" i="11"/>
  <c r="W30" i="11"/>
  <c r="AM30" i="11"/>
  <c r="AM13" i="11"/>
  <c r="AF31" i="11"/>
  <c r="AN31" i="11"/>
  <c r="AF32" i="11"/>
  <c r="AN32" i="11"/>
  <c r="AN19" i="11"/>
  <c r="AF19" i="11"/>
  <c r="W26" i="11"/>
  <c r="AM26" i="11"/>
  <c r="W32" i="11"/>
  <c r="AM32" i="11"/>
  <c r="W14" i="11"/>
  <c r="AM14" i="11"/>
  <c r="W16" i="11"/>
  <c r="AM16" i="11"/>
  <c r="AN35" i="11"/>
  <c r="AF35" i="11"/>
  <c r="AF23" i="11"/>
  <c r="AN23" i="11"/>
  <c r="AN26" i="11"/>
  <c r="AF26" i="11"/>
  <c r="AF29" i="11"/>
  <c r="AN29" i="11"/>
  <c r="W33" i="11"/>
  <c r="AM33" i="11"/>
  <c r="W15" i="11"/>
  <c r="AM15" i="11"/>
  <c r="W21" i="11"/>
  <c r="AM21" i="11"/>
  <c r="AF36" i="11"/>
  <c r="AN36" i="11"/>
  <c r="AF16" i="11"/>
  <c r="AN16" i="11"/>
  <c r="W19" i="11"/>
  <c r="AM19" i="11"/>
  <c r="W27" i="11"/>
  <c r="AM27" i="11"/>
  <c r="W34" i="11"/>
  <c r="AM34" i="11"/>
  <c r="W18" i="11"/>
  <c r="AM18" i="11"/>
  <c r="AN27" i="11"/>
  <c r="AF27" i="11"/>
  <c r="AF37" i="11"/>
  <c r="AN37" i="11"/>
  <c r="W20" i="11"/>
  <c r="AM20" i="11"/>
  <c r="W28" i="11"/>
  <c r="AM28" i="11"/>
  <c r="W36" i="11"/>
  <c r="AM36" i="11"/>
  <c r="W13" i="11"/>
  <c r="S26" i="11"/>
  <c r="T26" i="11"/>
  <c r="S27" i="11"/>
  <c r="T27" i="11"/>
  <c r="S37" i="11"/>
  <c r="T37" i="11"/>
  <c r="S35" i="11"/>
  <c r="T35" i="11"/>
  <c r="S29" i="11"/>
  <c r="T29" i="11"/>
  <c r="S20" i="11"/>
  <c r="T20" i="11"/>
  <c r="S30" i="11"/>
  <c r="T30" i="11"/>
  <c r="S24" i="11"/>
  <c r="T24" i="11"/>
  <c r="S31" i="11"/>
  <c r="T31" i="11"/>
  <c r="S19" i="11"/>
  <c r="T19" i="11"/>
  <c r="S16" i="11"/>
  <c r="T16" i="11"/>
  <c r="S34" i="11"/>
  <c r="T34" i="11"/>
  <c r="S15" i="11"/>
  <c r="T15" i="11"/>
  <c r="S32" i="11"/>
  <c r="T32" i="11"/>
  <c r="S23" i="11"/>
  <c r="T23" i="11"/>
  <c r="S21" i="11"/>
  <c r="T21" i="11"/>
  <c r="S25" i="11"/>
  <c r="T25" i="11"/>
  <c r="S14" i="11"/>
  <c r="T14" i="11"/>
  <c r="S33" i="11"/>
  <c r="T33" i="11"/>
  <c r="S13" i="11"/>
  <c r="T13" i="11"/>
  <c r="S36" i="11"/>
  <c r="T36" i="11"/>
  <c r="S17" i="11"/>
  <c r="T17" i="11"/>
  <c r="S18" i="11"/>
  <c r="T18" i="11"/>
  <c r="S28" i="11"/>
  <c r="T28" i="11"/>
  <c r="S22" i="11"/>
  <c r="T22" i="11"/>
  <c r="Q31" i="11"/>
  <c r="R31" i="11"/>
  <c r="Q32" i="11"/>
  <c r="R32" i="11"/>
  <c r="Q35" i="11"/>
  <c r="R35" i="11"/>
  <c r="Q23" i="11"/>
  <c r="R23" i="11"/>
  <c r="Q26" i="11"/>
  <c r="R26" i="11"/>
  <c r="Q29" i="11"/>
  <c r="R29" i="11"/>
  <c r="Q33" i="11"/>
  <c r="R33" i="11"/>
  <c r="Q17" i="11"/>
  <c r="R17" i="11"/>
  <c r="Q18" i="11"/>
  <c r="R18" i="11"/>
  <c r="Q22" i="11"/>
  <c r="R22" i="11"/>
  <c r="Q19" i="11"/>
  <c r="R19" i="11"/>
  <c r="Q36" i="11"/>
  <c r="R36" i="11"/>
  <c r="Q16" i="11"/>
  <c r="R16" i="11"/>
  <c r="Q13" i="11"/>
  <c r="R13" i="11"/>
  <c r="Q14" i="11"/>
  <c r="R14" i="11"/>
  <c r="Q27" i="11"/>
  <c r="R27" i="11"/>
  <c r="Q37" i="11"/>
  <c r="R37" i="11"/>
  <c r="Q20" i="11"/>
  <c r="R20" i="11"/>
  <c r="Q30" i="11"/>
  <c r="R30" i="11"/>
  <c r="Q24" i="11"/>
  <c r="R24" i="11"/>
  <c r="Q25" i="11"/>
  <c r="R25" i="11"/>
  <c r="Q28" i="11"/>
  <c r="R28" i="11"/>
  <c r="Q34" i="11"/>
  <c r="R34" i="11"/>
  <c r="Q21" i="11"/>
  <c r="R21" i="11"/>
  <c r="Q15" i="11"/>
  <c r="R15" i="11"/>
  <c r="N25" i="11"/>
  <c r="P25" i="11"/>
  <c r="O25" i="11"/>
  <c r="O14" i="11"/>
  <c r="N14" i="11"/>
  <c r="P14" i="11"/>
  <c r="O33" i="11"/>
  <c r="P33" i="11"/>
  <c r="N33" i="11"/>
  <c r="N18" i="11"/>
  <c r="P18" i="11"/>
  <c r="O18" i="11"/>
  <c r="P28" i="11"/>
  <c r="N28" i="11"/>
  <c r="O28" i="11"/>
  <c r="P22" i="11"/>
  <c r="O22" i="11"/>
  <c r="N22" i="11"/>
  <c r="N31" i="11"/>
  <c r="O31" i="11"/>
  <c r="P31" i="11"/>
  <c r="O19" i="11"/>
  <c r="N19" i="11"/>
  <c r="P19" i="11"/>
  <c r="O23" i="11"/>
  <c r="N23" i="11"/>
  <c r="P23" i="11"/>
  <c r="N26" i="11"/>
  <c r="P26" i="11"/>
  <c r="O26" i="11"/>
  <c r="P36" i="11"/>
  <c r="O36" i="11"/>
  <c r="N36" i="11"/>
  <c r="O16" i="11"/>
  <c r="N16" i="11"/>
  <c r="P16" i="11"/>
  <c r="O27" i="11"/>
  <c r="N27" i="11"/>
  <c r="P27" i="11"/>
  <c r="O37" i="11"/>
  <c r="P37" i="11"/>
  <c r="N37" i="11"/>
  <c r="P32" i="11"/>
  <c r="O32" i="11"/>
  <c r="N32" i="11"/>
  <c r="O35" i="11"/>
  <c r="P35" i="11"/>
  <c r="N35" i="11"/>
  <c r="P29" i="11"/>
  <c r="O29" i="11"/>
  <c r="N29" i="11"/>
  <c r="P20" i="11"/>
  <c r="O20" i="11"/>
  <c r="N20" i="11"/>
  <c r="P30" i="11"/>
  <c r="N30" i="11"/>
  <c r="O30" i="11"/>
  <c r="O24" i="11"/>
  <c r="P24" i="11"/>
  <c r="N24" i="11"/>
  <c r="O13" i="11"/>
  <c r="P13" i="11"/>
  <c r="N13" i="11"/>
  <c r="O17" i="11"/>
  <c r="P17" i="11"/>
  <c r="N17" i="11"/>
  <c r="N34" i="11"/>
  <c r="P34" i="11"/>
  <c r="O34" i="11"/>
  <c r="O21" i="11"/>
  <c r="N21" i="11"/>
  <c r="P21" i="11"/>
  <c r="N15" i="11"/>
  <c r="O15" i="11"/>
  <c r="P15" i="11"/>
  <c r="W12" i="11"/>
  <c r="AI12" i="11"/>
  <c r="AI38" i="11" s="1"/>
  <c r="AK12" i="11" s="1"/>
  <c r="AL12" i="11" s="1"/>
  <c r="F18" i="10" s="1"/>
  <c r="M12" i="11"/>
  <c r="AF12" i="11" s="1"/>
  <c r="AP38" i="11"/>
  <c r="C2" i="5"/>
  <c r="E2" i="5"/>
  <c r="Y28" i="5"/>
  <c r="X28" i="5"/>
  <c r="N32" i="5"/>
  <c r="J4" i="5"/>
  <c r="J6" i="5"/>
  <c r="J8" i="5"/>
  <c r="J10" i="5"/>
  <c r="J12" i="5"/>
  <c r="J14" i="5"/>
  <c r="J16" i="5"/>
  <c r="J18" i="5"/>
  <c r="J20" i="5"/>
  <c r="J22" i="5"/>
  <c r="J24" i="5"/>
  <c r="J26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D3" i="5"/>
  <c r="K3" i="5" s="1"/>
  <c r="D4" i="5"/>
  <c r="D5" i="5"/>
  <c r="D6" i="5"/>
  <c r="K6" i="5" s="1"/>
  <c r="D7" i="5"/>
  <c r="K7" i="5" s="1"/>
  <c r="D8" i="5"/>
  <c r="K8" i="5" s="1"/>
  <c r="D9" i="5"/>
  <c r="K9" i="5" s="1"/>
  <c r="D10" i="5"/>
  <c r="K10" i="5" s="1"/>
  <c r="D11" i="5"/>
  <c r="K11" i="5" s="1"/>
  <c r="D12" i="5"/>
  <c r="K12" i="5" s="1"/>
  <c r="D13" i="5"/>
  <c r="K13" i="5" s="1"/>
  <c r="D14" i="5"/>
  <c r="K14" i="5" s="1"/>
  <c r="D15" i="5"/>
  <c r="K15" i="5" s="1"/>
  <c r="D16" i="5"/>
  <c r="K16" i="5" s="1"/>
  <c r="D17" i="5"/>
  <c r="K17" i="5" s="1"/>
  <c r="D18" i="5"/>
  <c r="K18" i="5" s="1"/>
  <c r="D19" i="5"/>
  <c r="K19" i="5" s="1"/>
  <c r="D20" i="5"/>
  <c r="K20" i="5" s="1"/>
  <c r="D21" i="5"/>
  <c r="K21" i="5" s="1"/>
  <c r="D22" i="5"/>
  <c r="K22" i="5" s="1"/>
  <c r="D23" i="5"/>
  <c r="K23" i="5" s="1"/>
  <c r="D24" i="5"/>
  <c r="K24" i="5" s="1"/>
  <c r="D25" i="5"/>
  <c r="K25" i="5" s="1"/>
  <c r="D26" i="5"/>
  <c r="K26" i="5" s="1"/>
  <c r="D27" i="5"/>
  <c r="K27" i="5" s="1"/>
  <c r="D2" i="5"/>
  <c r="K2" i="5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F38" i="11" l="1"/>
  <c r="AH39" i="11" s="1"/>
  <c r="AM38" i="11"/>
  <c r="AN12" i="11"/>
  <c r="AN38" i="11" s="1"/>
  <c r="U26" i="11" a="1"/>
  <c r="U26" i="11" s="1"/>
  <c r="U36" i="11" a="1"/>
  <c r="U36" i="11" s="1"/>
  <c r="U25" i="11" a="1"/>
  <c r="U25" i="11" s="1"/>
  <c r="U34" i="11" a="1"/>
  <c r="U34" i="11" s="1"/>
  <c r="U13" i="11" a="1"/>
  <c r="U13" i="11" s="1"/>
  <c r="U15" i="11" a="1"/>
  <c r="U15" i="11" s="1"/>
  <c r="U28" i="11" a="1"/>
  <c r="U28" i="11" s="1"/>
  <c r="U33" i="11" a="1"/>
  <c r="U33" i="11" s="1"/>
  <c r="U27" i="11" a="1"/>
  <c r="U27" i="11" s="1"/>
  <c r="U14" i="11" a="1"/>
  <c r="U14" i="11" s="1"/>
  <c r="U20" i="11" a="1"/>
  <c r="U20" i="11" s="1"/>
  <c r="U21" i="11" a="1"/>
  <c r="U21" i="11" s="1"/>
  <c r="U24" i="11" a="1"/>
  <c r="U24" i="11" s="1"/>
  <c r="U29" i="11" a="1"/>
  <c r="U29" i="11" s="1"/>
  <c r="U32" i="11" a="1"/>
  <c r="U32" i="11" s="1"/>
  <c r="U31" i="11" a="1"/>
  <c r="U31" i="11" s="1"/>
  <c r="U30" i="11" a="1"/>
  <c r="U30" i="11" s="1"/>
  <c r="U19" i="11" a="1"/>
  <c r="U19" i="11" s="1"/>
  <c r="U35" i="11" a="1"/>
  <c r="U35" i="11" s="1"/>
  <c r="U16" i="11" a="1"/>
  <c r="U16" i="11" s="1"/>
  <c r="U17" i="11" a="1"/>
  <c r="U17" i="11" s="1"/>
  <c r="U37" i="11" a="1"/>
  <c r="U37" i="11" s="1"/>
  <c r="U23" i="11" a="1"/>
  <c r="U23" i="11" s="1"/>
  <c r="U22" i="11" a="1"/>
  <c r="U22" i="11" s="1"/>
  <c r="U18" i="11" a="1"/>
  <c r="U18" i="11" s="1"/>
  <c r="S12" i="11"/>
  <c r="T12" i="11"/>
  <c r="Q12" i="11"/>
  <c r="R12" i="11"/>
  <c r="P12" i="11"/>
  <c r="O12" i="11"/>
  <c r="N12" i="11"/>
  <c r="S8" i="5"/>
  <c r="S26" i="5"/>
  <c r="S10" i="5"/>
  <c r="S16" i="5"/>
  <c r="S20" i="5"/>
  <c r="S18" i="5"/>
  <c r="S12" i="5"/>
  <c r="S2" i="5"/>
  <c r="S22" i="5"/>
  <c r="S14" i="5"/>
  <c r="S6" i="5"/>
  <c r="S24" i="5"/>
  <c r="S4" i="5"/>
  <c r="K5" i="5"/>
  <c r="B5" i="5" s="1"/>
  <c r="K4" i="5"/>
  <c r="B4" i="5" s="1"/>
  <c r="B3" i="5"/>
  <c r="B2" i="5"/>
  <c r="B26" i="5"/>
  <c r="X26" i="5" s="1"/>
  <c r="B24" i="5"/>
  <c r="X24" i="5" s="1"/>
  <c r="U24" i="5" s="1"/>
  <c r="B22" i="5"/>
  <c r="X22" i="5" s="1"/>
  <c r="B20" i="5"/>
  <c r="X20" i="5" s="1"/>
  <c r="U20" i="5" s="1"/>
  <c r="B18" i="5"/>
  <c r="X18" i="5" s="1"/>
  <c r="B16" i="5"/>
  <c r="X16" i="5" s="1"/>
  <c r="U16" i="5" s="1"/>
  <c r="B14" i="5"/>
  <c r="X14" i="5" s="1"/>
  <c r="B12" i="5"/>
  <c r="X12" i="5" s="1"/>
  <c r="B10" i="5"/>
  <c r="X10" i="5" s="1"/>
  <c r="B8" i="5"/>
  <c r="X8" i="5" s="1"/>
  <c r="B6" i="5"/>
  <c r="X6" i="5" s="1"/>
  <c r="B27" i="5"/>
  <c r="Y27" i="5" s="1"/>
  <c r="B25" i="5"/>
  <c r="P25" i="5" s="1"/>
  <c r="B23" i="5"/>
  <c r="X23" i="5" s="1"/>
  <c r="W23" i="5" s="1"/>
  <c r="B21" i="5"/>
  <c r="X21" i="5" s="1"/>
  <c r="W21" i="5" s="1"/>
  <c r="B19" i="5"/>
  <c r="X19" i="5" s="1"/>
  <c r="W19" i="5" s="1"/>
  <c r="B17" i="5"/>
  <c r="X17" i="5" s="1"/>
  <c r="W17" i="5" s="1"/>
  <c r="B15" i="5"/>
  <c r="X15" i="5" s="1"/>
  <c r="W15" i="5" s="1"/>
  <c r="B13" i="5"/>
  <c r="X13" i="5" s="1"/>
  <c r="W13" i="5" s="1"/>
  <c r="B11" i="5"/>
  <c r="X11" i="5" s="1"/>
  <c r="B9" i="5"/>
  <c r="X9" i="5" s="1"/>
  <c r="W9" i="5" s="1"/>
  <c r="B7" i="5"/>
  <c r="X7" i="5" s="1"/>
  <c r="W7" i="5" s="1"/>
  <c r="J32" i="5"/>
  <c r="M2" i="5"/>
  <c r="Q26" i="5"/>
  <c r="Q24" i="5"/>
  <c r="Q22" i="5"/>
  <c r="Q20" i="5"/>
  <c r="Q18" i="5"/>
  <c r="Q16" i="5"/>
  <c r="Q14" i="5"/>
  <c r="Q12" i="5"/>
  <c r="Q10" i="5"/>
  <c r="Q8" i="5"/>
  <c r="Q6" i="5"/>
  <c r="Q4" i="5"/>
  <c r="Q27" i="5"/>
  <c r="Q25" i="5"/>
  <c r="Q23" i="5"/>
  <c r="Q21" i="5"/>
  <c r="Q19" i="5"/>
  <c r="Q17" i="5"/>
  <c r="Q15" i="5"/>
  <c r="Q13" i="5"/>
  <c r="Q11" i="5"/>
  <c r="Q9" i="5"/>
  <c r="Q7" i="5"/>
  <c r="Q5" i="5"/>
  <c r="Q3" i="5"/>
  <c r="Q2" i="5"/>
  <c r="F13" i="10" l="1"/>
  <c r="F20" i="10"/>
  <c r="J46" i="11"/>
  <c r="AO12" i="11"/>
  <c r="V24" i="11"/>
  <c r="V20" i="11"/>
  <c r="V15" i="11"/>
  <c r="V34" i="11"/>
  <c r="AH34" i="11" s="1"/>
  <c r="V35" i="11"/>
  <c r="V19" i="11"/>
  <c r="V14" i="11"/>
  <c r="V37" i="11"/>
  <c r="AH37" i="11" s="1"/>
  <c r="V13" i="11"/>
  <c r="V18" i="11"/>
  <c r="V30" i="11"/>
  <c r="V27" i="11"/>
  <c r="V25" i="11"/>
  <c r="V17" i="11"/>
  <c r="AH17" i="11" s="1"/>
  <c r="V21" i="11"/>
  <c r="AH21" i="11" s="1"/>
  <c r="V22" i="11"/>
  <c r="V31" i="11"/>
  <c r="V33" i="11"/>
  <c r="V36" i="11"/>
  <c r="AH36" i="11" s="1"/>
  <c r="V29" i="11"/>
  <c r="AH29" i="11" s="1"/>
  <c r="V16" i="11"/>
  <c r="AH16" i="11" s="1"/>
  <c r="V23" i="11"/>
  <c r="AH23" i="11" s="1"/>
  <c r="V32" i="11"/>
  <c r="AH32" i="11" s="1"/>
  <c r="V28" i="11"/>
  <c r="AH28" i="11" s="1"/>
  <c r="V26" i="11"/>
  <c r="AH26" i="11" s="1"/>
  <c r="U12" i="11" a="1"/>
  <c r="U12" i="11" s="1"/>
  <c r="Y15" i="5"/>
  <c r="L24" i="5"/>
  <c r="Y23" i="5"/>
  <c r="L16" i="5"/>
  <c r="L21" i="5"/>
  <c r="L20" i="5"/>
  <c r="V6" i="5"/>
  <c r="W6" i="5"/>
  <c r="V10" i="5"/>
  <c r="W10" i="5"/>
  <c r="V14" i="5"/>
  <c r="W14" i="5"/>
  <c r="V18" i="5"/>
  <c r="W18" i="5"/>
  <c r="V22" i="5"/>
  <c r="W22" i="5"/>
  <c r="V26" i="5"/>
  <c r="W26" i="5"/>
  <c r="Y19" i="5"/>
  <c r="L27" i="5"/>
  <c r="V12" i="5"/>
  <c r="W12" i="5"/>
  <c r="V16" i="5"/>
  <c r="W16" i="5"/>
  <c r="V20" i="5"/>
  <c r="W20" i="5"/>
  <c r="V24" i="5"/>
  <c r="W24" i="5"/>
  <c r="L17" i="5"/>
  <c r="L25" i="5"/>
  <c r="Y17" i="5"/>
  <c r="Y21" i="5"/>
  <c r="Y25" i="5"/>
  <c r="L13" i="5"/>
  <c r="Y13" i="5"/>
  <c r="L12" i="5"/>
  <c r="Y9" i="5"/>
  <c r="L9" i="5"/>
  <c r="L8" i="5"/>
  <c r="Y4" i="5"/>
  <c r="X4" i="5"/>
  <c r="L4" i="5"/>
  <c r="P4" i="5"/>
  <c r="X5" i="5"/>
  <c r="P5" i="5"/>
  <c r="L5" i="5"/>
  <c r="Y5" i="5"/>
  <c r="Y7" i="5"/>
  <c r="Y11" i="5"/>
  <c r="W11" i="5" s="1"/>
  <c r="U6" i="5"/>
  <c r="U10" i="5"/>
  <c r="U14" i="5"/>
  <c r="U18" i="5"/>
  <c r="U22" i="5"/>
  <c r="U26" i="5"/>
  <c r="L6" i="5"/>
  <c r="L10" i="5"/>
  <c r="L14" i="5"/>
  <c r="L18" i="5"/>
  <c r="L22" i="5"/>
  <c r="L26" i="5"/>
  <c r="L7" i="5"/>
  <c r="L11" i="5"/>
  <c r="L15" i="5"/>
  <c r="L19" i="5"/>
  <c r="L23" i="5"/>
  <c r="X27" i="5"/>
  <c r="W27" i="5" s="1"/>
  <c r="P3" i="5"/>
  <c r="L3" i="5"/>
  <c r="Y3" i="5"/>
  <c r="X3" i="5"/>
  <c r="X2" i="5"/>
  <c r="L2" i="5"/>
  <c r="Y2" i="5"/>
  <c r="P2" i="5"/>
  <c r="S28" i="5"/>
  <c r="U9" i="5"/>
  <c r="V9" i="5"/>
  <c r="U13" i="5"/>
  <c r="V13" i="5"/>
  <c r="U17" i="5"/>
  <c r="V17" i="5"/>
  <c r="U21" i="5"/>
  <c r="V21" i="5"/>
  <c r="U7" i="5"/>
  <c r="V7" i="5"/>
  <c r="U11" i="5"/>
  <c r="V11" i="5"/>
  <c r="U15" i="5"/>
  <c r="V15" i="5"/>
  <c r="U19" i="5"/>
  <c r="V19" i="5"/>
  <c r="U23" i="5"/>
  <c r="V23" i="5"/>
  <c r="P7" i="5"/>
  <c r="P11" i="5"/>
  <c r="P15" i="5"/>
  <c r="P19" i="5"/>
  <c r="P23" i="5"/>
  <c r="P27" i="5"/>
  <c r="P8" i="5"/>
  <c r="P12" i="5"/>
  <c r="P16" i="5"/>
  <c r="P20" i="5"/>
  <c r="P24" i="5"/>
  <c r="Y8" i="5"/>
  <c r="V8" i="5" s="1"/>
  <c r="Y12" i="5"/>
  <c r="U12" i="5" s="1"/>
  <c r="Y16" i="5"/>
  <c r="Y20" i="5"/>
  <c r="Y24" i="5"/>
  <c r="X25" i="5"/>
  <c r="W25" i="5" s="1"/>
  <c r="P9" i="5"/>
  <c r="P13" i="5"/>
  <c r="P17" i="5"/>
  <c r="P21" i="5"/>
  <c r="P6" i="5"/>
  <c r="P10" i="5"/>
  <c r="P14" i="5"/>
  <c r="P18" i="5"/>
  <c r="P22" i="5"/>
  <c r="P26" i="5"/>
  <c r="Y6" i="5"/>
  <c r="Y10" i="5"/>
  <c r="Y14" i="5"/>
  <c r="Y18" i="5"/>
  <c r="Y22" i="5"/>
  <c r="Y26" i="5"/>
  <c r="Q28" i="5"/>
  <c r="F5" i="10" l="1"/>
  <c r="F12" i="10"/>
  <c r="F19" i="10"/>
  <c r="W3" i="5"/>
  <c r="V3" i="5"/>
  <c r="W2" i="5"/>
  <c r="U2" i="5"/>
  <c r="X35" i="11"/>
  <c r="Y35" i="11" s="1"/>
  <c r="AH35" i="11"/>
  <c r="X27" i="11"/>
  <c r="Z27" i="11" s="1"/>
  <c r="AA27" i="11" s="1"/>
  <c r="AB27" i="11" s="1"/>
  <c r="AH27" i="11"/>
  <c r="X15" i="11"/>
  <c r="Y15" i="11" s="1"/>
  <c r="AH15" i="11"/>
  <c r="X33" i="11"/>
  <c r="Z33" i="11" s="1"/>
  <c r="AA33" i="11" s="1"/>
  <c r="AB33" i="11" s="1"/>
  <c r="AH33" i="11"/>
  <c r="X20" i="11"/>
  <c r="Y20" i="11" s="1"/>
  <c r="AH20" i="11"/>
  <c r="X31" i="11"/>
  <c r="Z31" i="11" s="1"/>
  <c r="AA31" i="11" s="1"/>
  <c r="AC31" i="11" s="1"/>
  <c r="AD31" i="11" s="1"/>
  <c r="AE31" i="11" s="1"/>
  <c r="AH31" i="11"/>
  <c r="X24" i="11"/>
  <c r="Z24" i="11" s="1"/>
  <c r="AA24" i="11" s="1"/>
  <c r="AB24" i="11" s="1"/>
  <c r="AH24" i="11"/>
  <c r="X22" i="11"/>
  <c r="Y22" i="11" s="1"/>
  <c r="AH22" i="11"/>
  <c r="X14" i="11"/>
  <c r="Y14" i="11" s="1"/>
  <c r="AH14" i="11"/>
  <c r="X25" i="11"/>
  <c r="Z25" i="11" s="1"/>
  <c r="AA25" i="11" s="1"/>
  <c r="AB25" i="11" s="1"/>
  <c r="AH25" i="11"/>
  <c r="X30" i="11"/>
  <c r="Y30" i="11" s="1"/>
  <c r="AH30" i="11"/>
  <c r="X18" i="11"/>
  <c r="Y18" i="11" s="1"/>
  <c r="AH18" i="11"/>
  <c r="X13" i="11"/>
  <c r="Y13" i="11" s="1"/>
  <c r="AH13" i="11"/>
  <c r="X19" i="11"/>
  <c r="Y19" i="11" s="1"/>
  <c r="AH19" i="11"/>
  <c r="X16" i="11"/>
  <c r="X36" i="11"/>
  <c r="X28" i="11"/>
  <c r="X17" i="11"/>
  <c r="X32" i="11"/>
  <c r="X21" i="11"/>
  <c r="X23" i="11"/>
  <c r="Z20" i="11"/>
  <c r="X29" i="11"/>
  <c r="X34" i="11"/>
  <c r="X37" i="11"/>
  <c r="Z35" i="11"/>
  <c r="X26" i="11"/>
  <c r="V12" i="11"/>
  <c r="W4" i="5"/>
  <c r="U3" i="5"/>
  <c r="W8" i="5"/>
  <c r="W5" i="5"/>
  <c r="U8" i="5"/>
  <c r="P28" i="5"/>
  <c r="V4" i="5"/>
  <c r="U4" i="5"/>
  <c r="U5" i="5"/>
  <c r="V5" i="5"/>
  <c r="L28" i="5"/>
  <c r="N2" i="5" s="1"/>
  <c r="O2" i="5" s="1"/>
  <c r="U27" i="5"/>
  <c r="V27" i="5"/>
  <c r="V2" i="5"/>
  <c r="U25" i="5"/>
  <c r="V25" i="5"/>
  <c r="Z13" i="11" l="1"/>
  <c r="Z14" i="11"/>
  <c r="AA14" i="11" s="1"/>
  <c r="AB14" i="11" s="1"/>
  <c r="AG14" i="11" s="1"/>
  <c r="Y31" i="11"/>
  <c r="Y33" i="11"/>
  <c r="AG33" i="11" s="1"/>
  <c r="AA35" i="11"/>
  <c r="AC35" i="11" s="1"/>
  <c r="AD35" i="11" s="1"/>
  <c r="AE35" i="11" s="1"/>
  <c r="AA13" i="11"/>
  <c r="AB13" i="11" s="1"/>
  <c r="AG13" i="11" s="1"/>
  <c r="AA20" i="11"/>
  <c r="AB20" i="11" s="1"/>
  <c r="AG20" i="11" s="1"/>
  <c r="Y27" i="11"/>
  <c r="AG27" i="11" s="1"/>
  <c r="Z30" i="11"/>
  <c r="AA30" i="11" s="1"/>
  <c r="AB30" i="11" s="1"/>
  <c r="AG30" i="11" s="1"/>
  <c r="Y25" i="11"/>
  <c r="AG25" i="11" s="1"/>
  <c r="Z19" i="11"/>
  <c r="AA19" i="11" s="1"/>
  <c r="AC19" i="11" s="1"/>
  <c r="AD19" i="11" s="1"/>
  <c r="AE19" i="11" s="1"/>
  <c r="Y24" i="11"/>
  <c r="AG24" i="11" s="1"/>
  <c r="Z18" i="11"/>
  <c r="AA18" i="11" s="1"/>
  <c r="AB18" i="11" s="1"/>
  <c r="AG18" i="11" s="1"/>
  <c r="Z15" i="11"/>
  <c r="AA15" i="11" s="1"/>
  <c r="AB15" i="11" s="1"/>
  <c r="AG15" i="11" s="1"/>
  <c r="Z22" i="11"/>
  <c r="AA22" i="11" s="1"/>
  <c r="AB22" i="11" s="1"/>
  <c r="AG22" i="11" s="1"/>
  <c r="X12" i="11"/>
  <c r="AH12" i="11"/>
  <c r="AH38" i="11" s="1"/>
  <c r="F11" i="10" s="1"/>
  <c r="AB31" i="11"/>
  <c r="Z36" i="11"/>
  <c r="AA36" i="11" s="1"/>
  <c r="AC36" i="11" s="1"/>
  <c r="AD36" i="11" s="1"/>
  <c r="AE36" i="11" s="1"/>
  <c r="Y36" i="11"/>
  <c r="Y26" i="11"/>
  <c r="Y16" i="11"/>
  <c r="Y37" i="11"/>
  <c r="Y23" i="11"/>
  <c r="Y34" i="11"/>
  <c r="Y21" i="11"/>
  <c r="Y29" i="11"/>
  <c r="Y32" i="11"/>
  <c r="Z17" i="11"/>
  <c r="AA17" i="11" s="1"/>
  <c r="AC17" i="11" s="1"/>
  <c r="AD17" i="11" s="1"/>
  <c r="AE17" i="11" s="1"/>
  <c r="Y17" i="11"/>
  <c r="Y28" i="11"/>
  <c r="AC33" i="11"/>
  <c r="AD33" i="11" s="1"/>
  <c r="AE33" i="11" s="1"/>
  <c r="AC25" i="11"/>
  <c r="AD25" i="11" s="1"/>
  <c r="AE25" i="11" s="1"/>
  <c r="AC24" i="11"/>
  <c r="AD24" i="11" s="1"/>
  <c r="AE24" i="11" s="1"/>
  <c r="AC27" i="11"/>
  <c r="AD27" i="11" s="1"/>
  <c r="AE27" i="11" s="1"/>
  <c r="Z23" i="11"/>
  <c r="AA23" i="11" s="1"/>
  <c r="AB23" i="11" s="1"/>
  <c r="Z28" i="11"/>
  <c r="AA28" i="11" s="1"/>
  <c r="AB28" i="11" s="1"/>
  <c r="Z16" i="11"/>
  <c r="AA16" i="11" s="1"/>
  <c r="AC16" i="11" s="1"/>
  <c r="AD16" i="11" s="1"/>
  <c r="AE16" i="11" s="1"/>
  <c r="Z21" i="11"/>
  <c r="AA21" i="11" s="1"/>
  <c r="AC21" i="11" s="1"/>
  <c r="AD21" i="11" s="1"/>
  <c r="AE21" i="11" s="1"/>
  <c r="Z32" i="11"/>
  <c r="AA32" i="11" s="1"/>
  <c r="AB32" i="11" s="1"/>
  <c r="Z26" i="11"/>
  <c r="AA26" i="11" s="1"/>
  <c r="AC26" i="11" s="1"/>
  <c r="AD26" i="11" s="1"/>
  <c r="AE26" i="11" s="1"/>
  <c r="Z29" i="11"/>
  <c r="AA29" i="11" s="1"/>
  <c r="AB29" i="11" s="1"/>
  <c r="Z34" i="11"/>
  <c r="AA34" i="11" s="1"/>
  <c r="AB34" i="11" s="1"/>
  <c r="Z37" i="11"/>
  <c r="AA37" i="11" s="1"/>
  <c r="AB37" i="11" s="1"/>
  <c r="R2" i="5"/>
  <c r="F6" i="6" s="1"/>
  <c r="J36" i="5"/>
  <c r="W28" i="5"/>
  <c r="U28" i="5"/>
  <c r="F7" i="6" s="1"/>
  <c r="V28" i="5"/>
  <c r="F7" i="7" s="1"/>
  <c r="AG31" i="11" l="1"/>
  <c r="AB35" i="11"/>
  <c r="AG35" i="11" s="1"/>
  <c r="AC13" i="11"/>
  <c r="AD13" i="11" s="1"/>
  <c r="AE13" i="11" s="1"/>
  <c r="AC14" i="11"/>
  <c r="AD14" i="11" s="1"/>
  <c r="AE14" i="11" s="1"/>
  <c r="AC30" i="11"/>
  <c r="AD30" i="11" s="1"/>
  <c r="AE30" i="11" s="1"/>
  <c r="AB19" i="11"/>
  <c r="AG19" i="11" s="1"/>
  <c r="AC20" i="11"/>
  <c r="AD20" i="11" s="1"/>
  <c r="AE20" i="11" s="1"/>
  <c r="AC15" i="11"/>
  <c r="AD15" i="11" s="1"/>
  <c r="AE15" i="11" s="1"/>
  <c r="AC22" i="11"/>
  <c r="AD22" i="11" s="1"/>
  <c r="AE22" i="11" s="1"/>
  <c r="AC18" i="11"/>
  <c r="AD18" i="11" s="1"/>
  <c r="AE18" i="11" s="1"/>
  <c r="AB16" i="11"/>
  <c r="AG16" i="11" s="1"/>
  <c r="AG28" i="11"/>
  <c r="AB36" i="11"/>
  <c r="AG36" i="11" s="1"/>
  <c r="F8" i="9"/>
  <c r="F21" i="9" s="1"/>
  <c r="AG29" i="11"/>
  <c r="AG34" i="11"/>
  <c r="AB26" i="11"/>
  <c r="AG26" i="11" s="1"/>
  <c r="AG23" i="11"/>
  <c r="AG32" i="11"/>
  <c r="AG37" i="11"/>
  <c r="AB21" i="11"/>
  <c r="AG21" i="11" s="1"/>
  <c r="AB17" i="11"/>
  <c r="AG17" i="11" s="1"/>
  <c r="Y12" i="11"/>
  <c r="AC23" i="11"/>
  <c r="AD23" i="11" s="1"/>
  <c r="AE23" i="11" s="1"/>
  <c r="AC34" i="11"/>
  <c r="AD34" i="11" s="1"/>
  <c r="AE34" i="11" s="1"/>
  <c r="AC29" i="11"/>
  <c r="AD29" i="11" s="1"/>
  <c r="AE29" i="11" s="1"/>
  <c r="AC32" i="11"/>
  <c r="AD32" i="11" s="1"/>
  <c r="AE32" i="11" s="1"/>
  <c r="AC37" i="11"/>
  <c r="AD37" i="11" s="1"/>
  <c r="AE37" i="11" s="1"/>
  <c r="AC28" i="11"/>
  <c r="AD28" i="11" s="1"/>
  <c r="AE28" i="11" s="1"/>
  <c r="Z12" i="11"/>
  <c r="AA12" i="11" s="1"/>
  <c r="AB12" i="11" s="1"/>
  <c r="F6" i="9"/>
  <c r="F18" i="9"/>
  <c r="F19" i="9"/>
  <c r="F4" i="7"/>
  <c r="F5" i="7"/>
  <c r="F5" i="9"/>
  <c r="F4" i="6"/>
  <c r="F5" i="6"/>
  <c r="F6" i="7"/>
  <c r="F7" i="9"/>
  <c r="F20" i="9" s="1"/>
  <c r="AG12" i="11" l="1"/>
  <c r="AC12" i="11"/>
  <c r="AD12" i="11" s="1"/>
  <c r="AE12" i="11" s="1"/>
  <c r="AE38" i="11" s="1"/>
  <c r="AE39" i="11" s="1"/>
  <c r="F4" i="10" s="1"/>
  <c r="AG38" i="11" l="1"/>
  <c r="AG39" i="11" s="1"/>
  <c r="F6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Журило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>Журило:</t>
        </r>
        <r>
          <rPr>
            <sz val="8"/>
            <color indexed="81"/>
            <rFont val="Tahoma"/>
            <family val="2"/>
            <charset val="204"/>
          </rPr>
          <t xml:space="preserve">
Для работы кнопки необходимо включить макросы на компе, см. вкладку "Как включить макросы"</t>
        </r>
      </text>
    </comment>
    <comment ref="F3" authorId="0" shapeId="0" xr:uid="{00000000-0006-0000-0000-000002000000}">
      <text>
        <r>
          <rPr>
            <b/>
            <sz val="8"/>
            <color indexed="81"/>
            <rFont val="Tahoma"/>
            <family val="2"/>
            <charset val="204"/>
          </rPr>
          <t>Журило:</t>
        </r>
        <r>
          <rPr>
            <sz val="8"/>
            <color indexed="81"/>
            <rFont val="Tahoma"/>
            <family val="2"/>
            <charset val="204"/>
          </rPr>
          <t xml:space="preserve">
Для работы кнопки необходимо включить макросы на компе, см. вкладку "как включить макрос"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<sst xmlns="http://schemas.openxmlformats.org/spreadsheetml/2006/main" count="226" uniqueCount="151">
  <si>
    <t>J-профиль, шт.</t>
  </si>
  <si>
    <t>H-профиль, шт.</t>
  </si>
  <si>
    <t>J-трим, шт.</t>
  </si>
  <si>
    <t>Панель Соффит с перфорацией, шт.</t>
  </si>
  <si>
    <t>Панель Соффит без перфорации, шт.</t>
  </si>
  <si>
    <t>сумма</t>
  </si>
  <si>
    <t>Укажите количество таких же пар</t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</si>
  <si>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1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</si>
  <si>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1</t>
    </r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</si>
  <si>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2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</si>
  <si>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2</t>
    </r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</si>
  <si>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3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</si>
  <si>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3</t>
    </r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</si>
  <si>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4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</si>
  <si>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4</t>
    </r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</si>
  <si>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5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</si>
  <si>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5</t>
    </r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</si>
  <si>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6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</si>
  <si>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6</t>
    </r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</si>
  <si>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7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</si>
  <si>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7</t>
    </r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</si>
  <si>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8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</si>
  <si>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8</t>
    </r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</si>
  <si>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9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</si>
  <si>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9</t>
    </r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</si>
  <si>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10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</si>
  <si>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10</t>
    </r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</si>
  <si>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11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</si>
  <si>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11</t>
    </r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</si>
  <si>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12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</si>
  <si>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12</t>
    </r>
  </si>
  <si>
    <r>
      <t xml:space="preserve">Ширина первого участка  из </t>
    </r>
    <r>
      <rPr>
        <b/>
        <sz val="11"/>
        <color theme="1"/>
        <rFont val="Calibri"/>
        <family val="2"/>
        <charset val="204"/>
        <scheme val="minor"/>
      </rPr>
      <t>пары 13</t>
    </r>
  </si>
  <si>
    <r>
      <t xml:space="preserve">Ширина второго участка из  </t>
    </r>
    <r>
      <rPr>
        <b/>
        <sz val="11"/>
        <color theme="1"/>
        <rFont val="Calibri"/>
        <family val="2"/>
        <charset val="204"/>
        <scheme val="minor"/>
      </rPr>
      <t>пары 13</t>
    </r>
  </si>
  <si>
    <t xml:space="preserve"> № участка</t>
  </si>
  <si>
    <t>Длина участка</t>
  </si>
  <si>
    <t>Ширина участка</t>
  </si>
  <si>
    <t>Угол наклона участка</t>
  </si>
  <si>
    <t>Количество таких же по размеру участков</t>
  </si>
  <si>
    <t>Введите ширины пары участков которые имееют общую площадь</t>
  </si>
  <si>
    <t xml:space="preserve"> № </t>
  </si>
  <si>
    <t>Площадь</t>
  </si>
  <si>
    <t>Отрицательная площадь</t>
  </si>
  <si>
    <t>Перевод угла</t>
  </si>
  <si>
    <t>Cуммарная площадь</t>
  </si>
  <si>
    <t>Площадь с запасом</t>
  </si>
  <si>
    <t xml:space="preserve">Общая длина </t>
  </si>
  <si>
    <t xml:space="preserve">Общая ширина </t>
  </si>
  <si>
    <t>J- профиль</t>
  </si>
  <si>
    <t>Отрицателый J-профиль</t>
  </si>
  <si>
    <t>Н- профиль</t>
  </si>
  <si>
    <t>Аско</t>
  </si>
  <si>
    <t>Соффит</t>
  </si>
  <si>
    <t>Коэффициент</t>
  </si>
  <si>
    <t>* в расчете учтен запас 10% на панели и 5% на планки</t>
  </si>
  <si>
    <t>Мин</t>
  </si>
  <si>
    <t>Макс</t>
  </si>
  <si>
    <t>Мин ширина</t>
  </si>
  <si>
    <t>1)  Нажимаем кнопку "Office"</t>
  </si>
  <si>
    <t>2)  Дальше жмем "Параметры Excel"</t>
  </si>
  <si>
    <t>3)  Откроется окно, в нем выбираем "Центр управления безопасностью", жмем</t>
  </si>
  <si>
    <t>4)  В открывшемся окне жмем на кнопку "Параметры центра управления безопасностью"</t>
  </si>
  <si>
    <t>5)  В открывшемся окне выбираем "Параметры макросов", жмем</t>
  </si>
  <si>
    <t>6) В открывшемся окне жмем выбираем пункт "Включить все макросы"</t>
  </si>
  <si>
    <t>7) Жмем "ОК"</t>
  </si>
  <si>
    <t>Назад в исходные данные</t>
  </si>
  <si>
    <t>айДахо</t>
  </si>
  <si>
    <t>Панель Айдахо с перфорацией, шт.</t>
  </si>
  <si>
    <t>Панель Айдахо без перфорации, шт.</t>
  </si>
  <si>
    <t>Площадь панели 0,9 м2</t>
  </si>
  <si>
    <t>Площадь панели 0,81 м2</t>
  </si>
  <si>
    <t>Использовать J-профиль только по внутреннему периметру дома</t>
  </si>
  <si>
    <t>Джейка</t>
  </si>
  <si>
    <t>только по вн периметру</t>
  </si>
  <si>
    <t xml:space="preserve">Планка J </t>
  </si>
  <si>
    <t>Планка Н</t>
  </si>
  <si>
    <t xml:space="preserve">3х0,3=0,9м² </t>
  </si>
  <si>
    <t xml:space="preserve">3,5х0,305 = 1,07 м² </t>
  </si>
  <si>
    <t>3х0,305 = 0,915 м2</t>
  </si>
  <si>
    <t xml:space="preserve">2,7х0,3 = 0,81 м² </t>
  </si>
  <si>
    <t>J-профиль 3m, шт.</t>
  </si>
  <si>
    <t>H-профиль 3m, шт.</t>
  </si>
  <si>
    <t>Панель ASKO NEO 3mх0,305m перфорована, шт.</t>
  </si>
  <si>
    <t>Панель ASKO NEO 3mх0,305m без перфорації, шт.</t>
  </si>
  <si>
    <t>* в расчете учтен запас 5% на панели и 5% на планки</t>
  </si>
  <si>
    <t>Виберіть тип панелі</t>
  </si>
  <si>
    <t>Min ширина</t>
  </si>
  <si>
    <t>Фактична ширина звису</t>
  </si>
  <si>
    <r>
      <t xml:space="preserve">Довжина звису                         </t>
    </r>
    <r>
      <rPr>
        <b/>
        <i/>
        <sz val="9"/>
        <color theme="1"/>
        <rFont val="Calibri"/>
        <family val="2"/>
        <charset val="204"/>
        <scheme val="minor"/>
      </rPr>
      <t>(або довжина проекції нахиленої ділянки, тоді слід ввести кут її нахилу)</t>
    </r>
  </si>
  <si>
    <t>Кут нахилу</t>
  </si>
  <si>
    <t>Кількість ділянок</t>
  </si>
  <si>
    <t>Ширина першої ділянки з пари 1</t>
  </si>
  <si>
    <t>Ширина першої ділянки з пари 2</t>
  </si>
  <si>
    <t>Ширина першої ділянки з пари 3</t>
  </si>
  <si>
    <t>Ширина першої ділянки з пари 4</t>
  </si>
  <si>
    <t>Ширина першої ділянки з пари 5</t>
  </si>
  <si>
    <t>Ширина першої ділянки з пари 6</t>
  </si>
  <si>
    <t>Ширина першої ділянки з пари 7</t>
  </si>
  <si>
    <t>Ширина першої ділянки з пари 8</t>
  </si>
  <si>
    <t>Ширина першої ділянки з пари 9</t>
  </si>
  <si>
    <t>Ширина першої ділянки з пари 10</t>
  </si>
  <si>
    <t>Ширина першої ділянки з пари 11</t>
  </si>
  <si>
    <t>Ширина першої ділянки з пари 12</t>
  </si>
  <si>
    <t>Ширина першої ділянки з пари 13</t>
  </si>
  <si>
    <t>Ширина другої ділянки з пари 1</t>
  </si>
  <si>
    <t>Ширина другої ділянки з пари 2</t>
  </si>
  <si>
    <t>Ширина другої ділянки з пари 3</t>
  </si>
  <si>
    <t>Ширина другої ділянки з пари 4</t>
  </si>
  <si>
    <t>Ширина другої ділянки з пари 5</t>
  </si>
  <si>
    <t>Ширина другої ділянки з пари 6</t>
  </si>
  <si>
    <t>Ширина другої ділянки з пари 7</t>
  </si>
  <si>
    <t>Ширина другої ділянки з пари 8</t>
  </si>
  <si>
    <t>Ширина другої ділянки з пари 9</t>
  </si>
  <si>
    <t>Ширина другої ділянки з пари 10</t>
  </si>
  <si>
    <t>Ширина другої ділянки з пари 11</t>
  </si>
  <si>
    <t>Ширина другої ділянки з пари 12</t>
  </si>
  <si>
    <t>Ширина другої ділянки з пари 13</t>
  </si>
  <si>
    <t>Кількість  пар</t>
  </si>
  <si>
    <t>Довжина з врах кута</t>
  </si>
  <si>
    <t>ЗАПАС1</t>
  </si>
  <si>
    <t>Ширина для запаса</t>
  </si>
  <si>
    <t>правка по Н-профилю</t>
  </si>
  <si>
    <t>Оптимизация запаса2</t>
  </si>
  <si>
    <t>правка по Н-профилю2</t>
  </si>
  <si>
    <t>Оптимизация ширині</t>
  </si>
  <si>
    <t>запас3</t>
  </si>
  <si>
    <t>запас4</t>
  </si>
  <si>
    <t>ИТОГ Запас</t>
  </si>
  <si>
    <t>ЗАПАС по довжині скату</t>
  </si>
  <si>
    <t>итого площадь</t>
  </si>
  <si>
    <t>Н профиль по длине</t>
  </si>
  <si>
    <t>Н профіль сумарно</t>
  </si>
  <si>
    <t>сумарно H</t>
  </si>
  <si>
    <t xml:space="preserve">Панель VOX INFRATOP  перфорована 2,7х0,3 = 0,81 м² </t>
  </si>
  <si>
    <t xml:space="preserve">Панель ASKO NEO перфорована, без перфорації, 3,5х0,305 = 1,07 м² </t>
  </si>
  <si>
    <t>Панель ASKO NEO перфорована, без перфорації, 3х0,305 = 0,915 м2</t>
  </si>
  <si>
    <t xml:space="preserve">Панель АЙДАХО  перфорована, без перфорації 3х0,3=0,9м² </t>
  </si>
  <si>
    <t>Найменування</t>
  </si>
  <si>
    <t>К-сть, шт</t>
  </si>
  <si>
    <t>один раз запас</t>
  </si>
  <si>
    <t>Мінамальний запас, застосування Н-профілю для зниження відходів панелі</t>
  </si>
  <si>
    <t>Панелі ріжуться кратно ширини звису, без додаткового  Н-профілю  на відходи</t>
  </si>
  <si>
    <t>Так як раніше рахували запас, 10% на панелі</t>
  </si>
  <si>
    <t>Примітка: мінімальне рекомендоване відношення панелей з перфорацією до панелей без перфорації складає 1:3. Отже мінімум 33% панелей мають бути з пефорацією</t>
  </si>
  <si>
    <t>Панель ASKO NEO 3,5х0,305 перфорована, без перфорації</t>
  </si>
  <si>
    <t>Панель ASKO NEO 3х0,305 перфорована, без перфорації</t>
  </si>
  <si>
    <t>Панель АЙДАХО 3х0,3 перфорована, без перфорації</t>
  </si>
  <si>
    <t xml:space="preserve">Панель VOX INFRATOP  2,7х0,3 перфорована </t>
  </si>
  <si>
    <t>Додати вручну погонаж H-профілю</t>
  </si>
  <si>
    <t>Додати вручну погонаж J-профілю</t>
  </si>
  <si>
    <t>Додати вручну площу</t>
  </si>
  <si>
    <r>
      <t>Пари ділянок зі спільною площею</t>
    </r>
    <r>
      <rPr>
        <sz val="11"/>
        <color theme="1"/>
        <rFont val="Calibri"/>
        <family val="2"/>
        <charset val="204"/>
        <scheme val="minor"/>
      </rPr>
      <t xml:space="preserve">                     (</t>
    </r>
    <r>
      <rPr>
        <sz val="11"/>
        <color rgb="FFFF0000"/>
        <rFont val="Calibri"/>
        <family val="2"/>
        <charset val="204"/>
        <scheme val="minor"/>
      </rPr>
      <t>ця площа вираховується з загальної площі!!!</t>
    </r>
    <r>
      <rPr>
        <sz val="11"/>
        <color theme="1"/>
        <rFont val="Calibri"/>
        <family val="2"/>
        <charset val="204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</si>
</sst>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b/>
      <sz val="14"/>
      <color theme="0"/>
      <name val="Calibri"/>
      <family val="2"/>
      <charset val="204"/>
      <scheme val="minor"/>
    </font>
    <font>
      <b/>
      <i/>
      <sz val="9"/>
      <color theme="1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11"/>
      <color rgb="FF00000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1"/>
      <color rgb="FFFF00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0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top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0" xfId="0" applyAlignment="1">
      <alignment horizontal="center" vertical="top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3" fillId="9" borderId="0" xfId="1" applyFill="1" applyAlignment="1" applyProtection="1"/>
    <xf numFmtId="164" fontId="0" fillId="0" borderId="0" xfId="0" applyNumberFormat="1" applyAlignment="1">
      <alignment horizontal="center" vertical="center"/>
    </xf>
    <xf numFmtId="0" fontId="0" fillId="8" borderId="0" xfId="0" applyFill="1"/>
    <xf numFmtId="0" fontId="0" fillId="0" borderId="0" xfId="0" applyAlignment="1">
      <alignment horizontal="center"/>
    </xf>
    <xf numFmtId="0" fontId="11" fillId="0" borderId="0" xfId="0" applyFont="1"/>
    <xf numFmtId="165" fontId="0" fillId="0" borderId="0" xfId="0" applyNumberFormat="1"/>
    <xf numFmtId="165" fontId="1" fillId="2" borderId="1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165" fontId="0" fillId="8" borderId="0" xfId="0" applyNumberFormat="1" applyFill="1"/>
    <xf numFmtId="2" fontId="0" fillId="0" borderId="0" xfId="0" applyNumberFormat="1"/>
    <xf numFmtId="2" fontId="10" fillId="2" borderId="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8" borderId="0" xfId="0" applyNumberFormat="1" applyFill="1"/>
    <xf numFmtId="0" fontId="1" fillId="9" borderId="4" xfId="0" applyFont="1" applyFill="1" applyBorder="1" applyAlignment="1">
      <alignment horizontal="center" vertical="center" wrapText="1"/>
    </xf>
    <xf numFmtId="165" fontId="10" fillId="8" borderId="4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164" fontId="10" fillId="2" borderId="4" xfId="0" applyNumberFormat="1" applyFont="1" applyFill="1" applyBorder="1" applyAlignment="1">
      <alignment horizontal="center" vertical="center" wrapText="1"/>
    </xf>
    <xf numFmtId="164" fontId="0" fillId="8" borderId="0" xfId="0" applyNumberFormat="1" applyFill="1"/>
    <xf numFmtId="164" fontId="0" fillId="0" borderId="0" xfId="0" applyNumberFormat="1" applyAlignment="1">
      <alignment horizontal="center" vertical="center" wrapText="1"/>
    </xf>
    <xf numFmtId="165" fontId="0" fillId="8" borderId="0" xfId="0" applyNumberFormat="1" applyFill="1" applyAlignment="1">
      <alignment horizontal="center" vertical="center"/>
    </xf>
    <xf numFmtId="164" fontId="0" fillId="8" borderId="0" xfId="0" applyNumberFormat="1" applyFill="1" applyAlignment="1">
      <alignment horizontal="center" vertical="center"/>
    </xf>
    <xf numFmtId="2" fontId="0" fillId="10" borderId="0" xfId="0" applyNumberFormat="1" applyFill="1" applyAlignment="1">
      <alignment horizontal="center" vertical="center"/>
    </xf>
    <xf numFmtId="164" fontId="0" fillId="10" borderId="0" xfId="0" applyNumberFormat="1" applyFill="1" applyAlignment="1">
      <alignment horizontal="center" vertical="center"/>
    </xf>
    <xf numFmtId="164" fontId="0" fillId="8" borderId="0" xfId="0" applyNumberFormat="1" applyFill="1" applyAlignment="1">
      <alignment horizontal="center" vertical="center" wrapText="1"/>
    </xf>
    <xf numFmtId="0" fontId="11" fillId="8" borderId="0" xfId="0" applyFont="1" applyFill="1"/>
    <xf numFmtId="165" fontId="11" fillId="8" borderId="0" xfId="0" applyNumberFormat="1" applyFont="1" applyFill="1"/>
    <xf numFmtId="0" fontId="1" fillId="11" borderId="4" xfId="0" applyFont="1" applyFill="1" applyBorder="1" applyAlignment="1">
      <alignment horizontal="center" vertical="center" wrapText="1"/>
    </xf>
    <xf numFmtId="0" fontId="0" fillId="11" borderId="0" xfId="0" applyFill="1"/>
    <xf numFmtId="0" fontId="0" fillId="11" borderId="0" xfId="0" applyFill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10" fillId="8" borderId="0" xfId="0" applyFont="1" applyFill="1"/>
    <xf numFmtId="0" fontId="1" fillId="8" borderId="4" xfId="0" applyFont="1" applyFill="1" applyBorder="1" applyAlignment="1">
      <alignment horizontal="center" vertical="center" wrapText="1"/>
    </xf>
    <xf numFmtId="0" fontId="11" fillId="8" borderId="0" xfId="0" applyFont="1" applyFill="1" applyAlignment="1">
      <alignment wrapText="1"/>
    </xf>
    <xf numFmtId="164" fontId="11" fillId="8" borderId="0" xfId="0" applyNumberFormat="1" applyFont="1" applyFill="1"/>
    <xf numFmtId="0" fontId="11" fillId="8" borderId="0" xfId="0" applyFont="1" applyFill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4" fillId="7" borderId="2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0" fillId="2" borderId="3" xfId="0" applyFont="1" applyFill="1" applyBorder="1" applyAlignment="1">
      <alignment horizontal="left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1" fillId="9" borderId="2" xfId="0" applyFont="1" applyFill="1" applyBorder="1" applyAlignment="1">
      <alignment horizontal="center" vertical="center" wrapText="1"/>
    </xf>
    <xf numFmtId="0" fontId="0" fillId="9" borderId="3" xfId="0" applyFill="1" applyBorder="1" applyAlignment="1">
      <alignment horizontal="center" vertical="center" wrapText="1"/>
    </xf>
    <xf numFmtId="0" fontId="0" fillId="9" borderId="4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top"/>
    </xf>
    <xf numFmtId="0" fontId="0" fillId="4" borderId="7" xfId="0" applyFill="1" applyBorder="1" applyAlignment="1">
      <alignment horizontal="center" vertical="top"/>
    </xf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 vertical="top"/>
    </xf>
    <xf numFmtId="0" fontId="0" fillId="4" borderId="4" xfId="0" applyFill="1" applyBorder="1" applyAlignment="1">
      <alignment horizontal="center" vertical="top"/>
    </xf>
    <xf numFmtId="0" fontId="0" fillId="6" borderId="6" xfId="0" applyFill="1" applyBorder="1" applyAlignment="1">
      <alignment horizontal="center" vertical="top"/>
    </xf>
    <xf numFmtId="0" fontId="0" fillId="6" borderId="7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0" fillId="6" borderId="4" xfId="0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0" borderId="0" xfId="0" applyAlignment="1">
      <alignment horizontal="left" vertical="center" wrapText="1"/>
    </xf>
    <xf numFmtId="0" fontId="1" fillId="8" borderId="6" xfId="0" applyFont="1" applyFill="1" applyBorder="1" applyAlignment="1">
      <alignment horizontal="center"/>
    </xf>
  </cellXfs>
  <cellStyles count="2">
    <cellStyle name="Гіперпосилання" xfId="1" builtinId="8"/>
    <cellStyle name="Звичайни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B$55" fmlaRange="$B$53:$B$54" noThreeD="1" sel="0" val="0"/>
</file>

<file path=xl/ctrlProps/ctrlProp4.xml><?xml version="1.0" encoding="utf-8"?>
<formControlPr xmlns="http://schemas.microsoft.com/office/spreadsheetml/2009/9/main" objectType="CheckBox" fmlaLink="Программа!$J$35" lockText="1" noThreeD="1"/>
</file>

<file path=xl/ctrlProps/ctrlProp5.xml><?xml version="1.0" encoding="utf-8"?>
<formControlPr xmlns="http://schemas.microsoft.com/office/spreadsheetml/2009/9/main" objectType="Drop" dropStyle="combo" dx="26" fmlaLink="пересчет!$A$6" fmlaRange="пересчет!$A$2:$A$5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43393</xdr:colOff>
      <xdr:row>3</xdr:row>
      <xdr:rowOff>8465</xdr:rowOff>
    </xdr:from>
    <xdr:to>
      <xdr:col>13</xdr:col>
      <xdr:colOff>227543</xdr:colOff>
      <xdr:row>18</xdr:row>
      <xdr:rowOff>71228</xdr:rowOff>
    </xdr:to>
    <xdr:pic>
      <xdr:nvPicPr>
        <xdr:cNvPr id="3100" name="Picture 28">
          <a:extLs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060393" y="956732"/>
          <a:ext cx="3714750" cy="3567963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198966</xdr:colOff>
      <xdr:row>2</xdr:row>
      <xdr:rowOff>287866</xdr:rowOff>
    </xdr:from>
    <xdr:to>
      <xdr:col>17</xdr:col>
      <xdr:colOff>579966</xdr:colOff>
      <xdr:row>12</xdr:row>
      <xdr:rowOff>88445</xdr:rowOff>
    </xdr:to>
    <xdr:pic>
      <xdr:nvPicPr>
        <xdr:cNvPr id="3102" name="Picture 30">
          <a:extLs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746566" y="829733"/>
          <a:ext cx="2819400" cy="2484512"/>
        </a:xfrm>
        <a:prstGeom prst="rect">
          <a:avLst/>
        </a:prstGeom>
        <a:noFill/>
      </xdr:spPr>
    </xdr:pic>
    <xdr:clientData/>
  </xdr:twoCellAnchor>
  <xdr:twoCellAnchor editAs="oneCell">
    <xdr:from>
      <xdr:col>10</xdr:col>
      <xdr:colOff>44450</xdr:colOff>
      <xdr:row>15</xdr:row>
      <xdr:rowOff>161927</xdr:rowOff>
    </xdr:from>
    <xdr:to>
      <xdr:col>13</xdr:col>
      <xdr:colOff>209550</xdr:colOff>
      <xdr:row>33</xdr:row>
      <xdr:rowOff>124932</xdr:rowOff>
    </xdr:to>
    <xdr:pic>
      <xdr:nvPicPr>
        <xdr:cNvPr id="3104" name="Picture 32">
          <a:extLs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061450" y="3946527"/>
          <a:ext cx="3695700" cy="3171872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23283</xdr:colOff>
      <xdr:row>16</xdr:row>
      <xdr:rowOff>59267</xdr:rowOff>
    </xdr:from>
    <xdr:to>
      <xdr:col>16</xdr:col>
      <xdr:colOff>527502</xdr:colOff>
      <xdr:row>26</xdr:row>
      <xdr:rowOff>91592</xdr:rowOff>
    </xdr:to>
    <xdr:pic>
      <xdr:nvPicPr>
        <xdr:cNvPr id="3106" name="Picture 34">
          <a:extLs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2570883" y="4030134"/>
          <a:ext cx="2333019" cy="1894991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76200</xdr:rowOff>
        </xdr:from>
        <xdr:to>
          <xdr:col>5</xdr:col>
          <xdr:colOff>0</xdr:colOff>
          <xdr:row>2</xdr:row>
          <xdr:rowOff>335280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Обнулить все значения ниже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2</xdr:row>
          <xdr:rowOff>76200</xdr:rowOff>
        </xdr:from>
        <xdr:to>
          <xdr:col>10</xdr:col>
          <xdr:colOff>0</xdr:colOff>
          <xdr:row>2</xdr:row>
          <xdr:rowOff>342900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Обнулить все значения ниже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</xdr:row>
          <xdr:rowOff>670560</xdr:rowOff>
        </xdr:from>
        <xdr:to>
          <xdr:col>3</xdr:col>
          <xdr:colOff>1363980</xdr:colOff>
          <xdr:row>3</xdr:row>
          <xdr:rowOff>868680</xdr:rowOff>
        </xdr:to>
        <xdr:sp macro="" textlink="">
          <xdr:nvSpPr>
            <xdr:cNvPr id="3085" name="Drop Dow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1211580</xdr:colOff>
          <xdr:row>1</xdr:row>
          <xdr:rowOff>60960</xdr:rowOff>
        </xdr:from>
        <xdr:to>
          <xdr:col>1</xdr:col>
          <xdr:colOff>1508760</xdr:colOff>
          <xdr:row>2</xdr:row>
          <xdr:rowOff>22860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uk-U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7620</xdr:rowOff>
        </xdr:from>
        <xdr:to>
          <xdr:col>9</xdr:col>
          <xdr:colOff>693420</xdr:colOff>
          <xdr:row>0</xdr:row>
          <xdr:rowOff>243840</xdr:rowOff>
        </xdr:to>
        <xdr:sp macro="" textlink="">
          <xdr:nvSpPr>
            <xdr:cNvPr id="3092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0</xdr:row>
      <xdr:rowOff>28575</xdr:rowOff>
    </xdr:from>
    <xdr:to>
      <xdr:col>3</xdr:col>
      <xdr:colOff>48454</xdr:colOff>
      <xdr:row>2</xdr:row>
      <xdr:rowOff>127966</xdr:rowOff>
    </xdr:to>
    <xdr:pic>
      <xdr:nvPicPr>
        <xdr:cNvPr id="2" name="Рисунок 3" descr="C:\Documents and Settings\morgun\Мои документы\лого мизол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1025" y="28575"/>
          <a:ext cx="1296229" cy="4803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57150</xdr:colOff>
      <xdr:row>0</xdr:row>
      <xdr:rowOff>0</xdr:rowOff>
    </xdr:from>
    <xdr:to>
      <xdr:col>5</xdr:col>
      <xdr:colOff>561975</xdr:colOff>
      <xdr:row>2</xdr:row>
      <xdr:rowOff>148450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105150" y="0"/>
          <a:ext cx="504825" cy="529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9525</xdr:rowOff>
    </xdr:from>
    <xdr:to>
      <xdr:col>3</xdr:col>
      <xdr:colOff>86554</xdr:colOff>
      <xdr:row>2</xdr:row>
      <xdr:rowOff>108916</xdr:rowOff>
    </xdr:to>
    <xdr:pic>
      <xdr:nvPicPr>
        <xdr:cNvPr id="2" name="Рисунок 3" descr="C:\Documents and Settings\morgun\Мои документы\лого мизол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9125" y="9525"/>
          <a:ext cx="1296229" cy="4803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85725</xdr:colOff>
      <xdr:row>0</xdr:row>
      <xdr:rowOff>0</xdr:rowOff>
    </xdr:from>
    <xdr:to>
      <xdr:col>5</xdr:col>
      <xdr:colOff>590550</xdr:colOff>
      <xdr:row>2</xdr:row>
      <xdr:rowOff>148450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133725" y="0"/>
          <a:ext cx="504825" cy="529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</xdr:row>
      <xdr:rowOff>28575</xdr:rowOff>
    </xdr:from>
    <xdr:to>
      <xdr:col>3</xdr:col>
      <xdr:colOff>48454</xdr:colOff>
      <xdr:row>3</xdr:row>
      <xdr:rowOff>127966</xdr:rowOff>
    </xdr:to>
    <xdr:pic>
      <xdr:nvPicPr>
        <xdr:cNvPr id="2" name="Рисунок 3" descr="C:\Documents and Settings\morgun\Мои документы\лого мизол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1025" y="28575"/>
          <a:ext cx="1296229" cy="4803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57151</xdr:colOff>
      <xdr:row>1</xdr:row>
      <xdr:rowOff>49948</xdr:rowOff>
    </xdr:from>
    <xdr:to>
      <xdr:col>5</xdr:col>
      <xdr:colOff>514351</xdr:colOff>
      <xdr:row>3</xdr:row>
      <xdr:rowOff>148450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400426" y="240448"/>
          <a:ext cx="457200" cy="479502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>
    <xdr:from>
      <xdr:col>0</xdr:col>
      <xdr:colOff>581025</xdr:colOff>
      <xdr:row>14</xdr:row>
      <xdr:rowOff>28575</xdr:rowOff>
    </xdr:from>
    <xdr:to>
      <xdr:col>3</xdr:col>
      <xdr:colOff>48454</xdr:colOff>
      <xdr:row>16</xdr:row>
      <xdr:rowOff>127966</xdr:rowOff>
    </xdr:to>
    <xdr:pic>
      <xdr:nvPicPr>
        <xdr:cNvPr id="4" name="Рисунок 3" descr="C:\Documents and Settings\morgun\Мои документы\лого мизол.jp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1025" y="28575"/>
          <a:ext cx="1296229" cy="4803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57151</xdr:colOff>
      <xdr:row>14</xdr:row>
      <xdr:rowOff>29968</xdr:rowOff>
    </xdr:from>
    <xdr:to>
      <xdr:col>5</xdr:col>
      <xdr:colOff>533401</xdr:colOff>
      <xdr:row>16</xdr:row>
      <xdr:rowOff>148449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400426" y="2696968"/>
          <a:ext cx="476250" cy="499481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66676</xdr:colOff>
      <xdr:row>0</xdr:row>
      <xdr:rowOff>1</xdr:rowOff>
    </xdr:from>
    <xdr:to>
      <xdr:col>8</xdr:col>
      <xdr:colOff>219075</xdr:colOff>
      <xdr:row>16</xdr:row>
      <xdr:rowOff>3795</xdr:rowOff>
    </xdr:to>
    <xdr:pic>
      <xdr:nvPicPr>
        <xdr:cNvPr id="4102" name="Picture 6">
          <a:extLst>
            <a:ext uri="{FF2B5EF4-FFF2-40B4-BE49-F238E27FC236}">
              <a16:creationId xmlns:a16="http://schemas.microsoft.com/office/drawing/2014/main" id="{00000000-0008-0000-0600-00000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86151" y="1"/>
          <a:ext cx="4762499" cy="3813794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66675</xdr:colOff>
      <xdr:row>12</xdr:row>
      <xdr:rowOff>19050</xdr:rowOff>
    </xdr:from>
    <xdr:to>
      <xdr:col>2</xdr:col>
      <xdr:colOff>352996</xdr:colOff>
      <xdr:row>31</xdr:row>
      <xdr:rowOff>171449</xdr:rowOff>
    </xdr:to>
    <xdr:pic>
      <xdr:nvPicPr>
        <xdr:cNvPr id="4104" name="Picture 8">
          <a:extLst>
            <a:ext uri="{FF2B5EF4-FFF2-40B4-BE49-F238E27FC236}">
              <a16:creationId xmlns:a16="http://schemas.microsoft.com/office/drawing/2014/main" id="{00000000-0008-0000-0600-000008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6675" y="3067050"/>
          <a:ext cx="4658296" cy="377189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133350</xdr:colOff>
      <xdr:row>12</xdr:row>
      <xdr:rowOff>66675</xdr:rowOff>
    </xdr:from>
    <xdr:to>
      <xdr:col>12</xdr:col>
      <xdr:colOff>352425</xdr:colOff>
      <xdr:row>36</xdr:row>
      <xdr:rowOff>117107</xdr:rowOff>
    </xdr:to>
    <xdr:pic>
      <xdr:nvPicPr>
        <xdr:cNvPr id="4106" name="Picture 10">
          <a:extLst>
            <a:ext uri="{FF2B5EF4-FFF2-40B4-BE49-F238E27FC236}">
              <a16:creationId xmlns:a16="http://schemas.microsoft.com/office/drawing/2014/main" id="{00000000-0008-0000-0600-00000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505325" y="3114675"/>
          <a:ext cx="6315075" cy="4622432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L31"/>
  <sheetViews>
    <sheetView tabSelected="1" zoomScale="90" zoomScaleNormal="90" workbookViewId="0">
      <selection activeCell="M2" sqref="M2"/>
    </sheetView>
  </sheetViews>
  <sheetFormatPr defaultRowHeight="14.4" x14ac:dyDescent="0.3"/>
  <cols>
    <col min="1" max="1" width="6.6640625" customWidth="1"/>
    <col min="2" max="2" width="24" customWidth="1"/>
    <col min="3" max="3" width="13.88671875" customWidth="1"/>
    <col min="4" max="4" width="21.33203125" customWidth="1"/>
    <col min="5" max="5" width="11.88671875" customWidth="1"/>
    <col min="8" max="8" width="16.44140625" customWidth="1"/>
    <col min="10" max="10" width="10.6640625" customWidth="1"/>
    <col min="11" max="11" width="33.6640625" customWidth="1"/>
  </cols>
  <sheetData>
    <row r="1" spans="1:12" ht="21.75" customHeight="1" x14ac:dyDescent="0.3">
      <c r="A1" s="62" t="s">
        <v>84</v>
      </c>
      <c r="B1" s="63"/>
      <c r="C1" s="63"/>
      <c r="D1" s="63"/>
      <c r="E1" s="63"/>
      <c r="F1" s="63"/>
      <c r="G1" s="63"/>
      <c r="H1" s="63"/>
      <c r="I1" s="63"/>
      <c r="J1" s="63"/>
      <c r="K1" s="56" t="s">
        <v>147</v>
      </c>
      <c r="L1" s="55">
        <v>4</v>
      </c>
    </row>
    <row r="2" spans="1:12" ht="21.75" customHeight="1" x14ac:dyDescent="0.3">
      <c r="A2" s="66"/>
      <c r="B2" s="67"/>
      <c r="C2" s="68" t="s">
        <v>70</v>
      </c>
      <c r="D2" s="68"/>
      <c r="E2" s="68"/>
      <c r="F2" s="68"/>
      <c r="G2" s="68"/>
      <c r="H2" s="68"/>
      <c r="I2" s="68"/>
      <c r="J2" s="68"/>
      <c r="K2" s="56" t="s">
        <v>148</v>
      </c>
      <c r="L2" s="55">
        <v>5</v>
      </c>
    </row>
    <row r="3" spans="1:12" ht="23.4" customHeight="1" x14ac:dyDescent="0.3">
      <c r="A3" s="60"/>
      <c r="B3" s="60"/>
      <c r="C3" s="60"/>
      <c r="D3" s="60"/>
      <c r="E3" s="61"/>
      <c r="F3" s="59"/>
      <c r="G3" s="60"/>
      <c r="H3" s="60"/>
      <c r="I3" s="60"/>
      <c r="J3" s="61"/>
      <c r="K3" s="56" t="s">
        <v>149</v>
      </c>
      <c r="L3" s="55">
        <v>0.5</v>
      </c>
    </row>
    <row r="4" spans="1:12" ht="71.25" customHeight="1" x14ac:dyDescent="0.3">
      <c r="A4" s="11" t="s">
        <v>39</v>
      </c>
      <c r="B4" s="12" t="s">
        <v>87</v>
      </c>
      <c r="C4" s="12" t="s">
        <v>86</v>
      </c>
      <c r="D4" s="12" t="s">
        <v>88</v>
      </c>
      <c r="E4" s="8" t="s">
        <v>89</v>
      </c>
      <c r="F4" s="75" t="s">
        <v>150</v>
      </c>
      <c r="G4" s="76"/>
      <c r="H4" s="76"/>
      <c r="I4" s="77"/>
      <c r="J4" s="33" t="s">
        <v>116</v>
      </c>
    </row>
    <row r="5" spans="1:12" x14ac:dyDescent="0.3">
      <c r="A5" s="10">
        <v>1</v>
      </c>
      <c r="B5" s="3">
        <v>3.25</v>
      </c>
      <c r="C5" s="3">
        <v>5.8</v>
      </c>
      <c r="D5" s="6">
        <f>0</f>
        <v>0</v>
      </c>
      <c r="E5" s="9">
        <f>1</f>
        <v>1</v>
      </c>
      <c r="F5" s="73" t="s">
        <v>90</v>
      </c>
      <c r="G5" s="73"/>
      <c r="H5" s="74"/>
      <c r="I5" s="4">
        <v>0</v>
      </c>
      <c r="J5" s="57">
        <f>1</f>
        <v>1</v>
      </c>
    </row>
    <row r="6" spans="1:12" x14ac:dyDescent="0.3">
      <c r="A6" s="10">
        <f>A5+1</f>
        <v>2</v>
      </c>
      <c r="B6" s="3">
        <v>1.55</v>
      </c>
      <c r="C6" s="3">
        <v>3</v>
      </c>
      <c r="D6" s="6">
        <f>0</f>
        <v>0</v>
      </c>
      <c r="E6" s="9">
        <f>1</f>
        <v>1</v>
      </c>
      <c r="F6" s="69" t="s">
        <v>103</v>
      </c>
      <c r="G6" s="69"/>
      <c r="H6" s="70"/>
      <c r="I6" s="4">
        <v>0</v>
      </c>
      <c r="J6" s="58"/>
    </row>
    <row r="7" spans="1:12" x14ac:dyDescent="0.3">
      <c r="A7" s="10">
        <f t="shared" ref="A7:A30" si="0">A6+1</f>
        <v>3</v>
      </c>
      <c r="B7" s="3">
        <v>4.8</v>
      </c>
      <c r="C7" s="3">
        <v>0.85</v>
      </c>
      <c r="D7" s="6">
        <f>0</f>
        <v>0</v>
      </c>
      <c r="E7" s="9">
        <f>1</f>
        <v>1</v>
      </c>
      <c r="F7" s="71" t="s">
        <v>91</v>
      </c>
      <c r="G7" s="71"/>
      <c r="H7" s="72"/>
      <c r="I7" s="4">
        <v>0</v>
      </c>
      <c r="J7" s="57">
        <f>1</f>
        <v>1</v>
      </c>
    </row>
    <row r="8" spans="1:12" x14ac:dyDescent="0.3">
      <c r="A8" s="10">
        <f t="shared" si="0"/>
        <v>4</v>
      </c>
      <c r="B8" s="3">
        <f>0</f>
        <v>0</v>
      </c>
      <c r="C8" s="3">
        <f>0</f>
        <v>0</v>
      </c>
      <c r="D8" s="6">
        <f>0</f>
        <v>0</v>
      </c>
      <c r="E8" s="9">
        <f>1</f>
        <v>1</v>
      </c>
      <c r="F8" s="64" t="s">
        <v>104</v>
      </c>
      <c r="G8" s="64"/>
      <c r="H8" s="65"/>
      <c r="I8" s="4">
        <f>0</f>
        <v>0</v>
      </c>
      <c r="J8" s="58"/>
    </row>
    <row r="9" spans="1:12" x14ac:dyDescent="0.3">
      <c r="A9" s="10">
        <f t="shared" si="0"/>
        <v>5</v>
      </c>
      <c r="B9" s="3">
        <f>0</f>
        <v>0</v>
      </c>
      <c r="C9" s="3">
        <f>0</f>
        <v>0</v>
      </c>
      <c r="D9" s="6">
        <f>0</f>
        <v>0</v>
      </c>
      <c r="E9" s="9">
        <f>1</f>
        <v>1</v>
      </c>
      <c r="F9" s="73" t="s">
        <v>92</v>
      </c>
      <c r="G9" s="73"/>
      <c r="H9" s="74"/>
      <c r="I9" s="4">
        <f>0</f>
        <v>0</v>
      </c>
      <c r="J9" s="57">
        <f>1</f>
        <v>1</v>
      </c>
    </row>
    <row r="10" spans="1:12" x14ac:dyDescent="0.3">
      <c r="A10" s="10">
        <f t="shared" si="0"/>
        <v>6</v>
      </c>
      <c r="B10" s="3">
        <f>0</f>
        <v>0</v>
      </c>
      <c r="C10" s="3">
        <f>0</f>
        <v>0</v>
      </c>
      <c r="D10" s="6">
        <f>0</f>
        <v>0</v>
      </c>
      <c r="E10" s="9">
        <f>1</f>
        <v>1</v>
      </c>
      <c r="F10" s="69" t="s">
        <v>105</v>
      </c>
      <c r="G10" s="69"/>
      <c r="H10" s="70"/>
      <c r="I10" s="4">
        <f>0</f>
        <v>0</v>
      </c>
      <c r="J10" s="58"/>
    </row>
    <row r="11" spans="1:12" x14ac:dyDescent="0.3">
      <c r="A11" s="10">
        <f t="shared" si="0"/>
        <v>7</v>
      </c>
      <c r="B11" s="3">
        <f>0</f>
        <v>0</v>
      </c>
      <c r="C11" s="3">
        <f>0</f>
        <v>0</v>
      </c>
      <c r="D11" s="6">
        <f>0</f>
        <v>0</v>
      </c>
      <c r="E11" s="9">
        <f>1</f>
        <v>1</v>
      </c>
      <c r="F11" s="71" t="s">
        <v>93</v>
      </c>
      <c r="G11" s="71"/>
      <c r="H11" s="72"/>
      <c r="I11" s="4">
        <f>0</f>
        <v>0</v>
      </c>
      <c r="J11" s="57">
        <f>1</f>
        <v>1</v>
      </c>
    </row>
    <row r="12" spans="1:12" x14ac:dyDescent="0.3">
      <c r="A12" s="10">
        <f t="shared" si="0"/>
        <v>8</v>
      </c>
      <c r="B12" s="3">
        <f>0</f>
        <v>0</v>
      </c>
      <c r="C12" s="3">
        <f>0</f>
        <v>0</v>
      </c>
      <c r="D12" s="6">
        <f>0</f>
        <v>0</v>
      </c>
      <c r="E12" s="9">
        <f>1</f>
        <v>1</v>
      </c>
      <c r="F12" s="64" t="s">
        <v>106</v>
      </c>
      <c r="G12" s="64"/>
      <c r="H12" s="65"/>
      <c r="I12" s="4">
        <f>0</f>
        <v>0</v>
      </c>
      <c r="J12" s="58"/>
    </row>
    <row r="13" spans="1:12" x14ac:dyDescent="0.3">
      <c r="A13" s="10">
        <f t="shared" si="0"/>
        <v>9</v>
      </c>
      <c r="B13" s="3">
        <f>0</f>
        <v>0</v>
      </c>
      <c r="C13" s="3">
        <f>0</f>
        <v>0</v>
      </c>
      <c r="D13" s="6">
        <f>0</f>
        <v>0</v>
      </c>
      <c r="E13" s="9">
        <f>1</f>
        <v>1</v>
      </c>
      <c r="F13" s="73" t="s">
        <v>94</v>
      </c>
      <c r="G13" s="73"/>
      <c r="H13" s="74"/>
      <c r="I13" s="4">
        <f>0</f>
        <v>0</v>
      </c>
      <c r="J13" s="57">
        <f>1</f>
        <v>1</v>
      </c>
    </row>
    <row r="14" spans="1:12" x14ac:dyDescent="0.3">
      <c r="A14" s="10">
        <f t="shared" si="0"/>
        <v>10</v>
      </c>
      <c r="B14" s="3">
        <f>0</f>
        <v>0</v>
      </c>
      <c r="C14" s="3">
        <f>0</f>
        <v>0</v>
      </c>
      <c r="D14" s="6">
        <f>0</f>
        <v>0</v>
      </c>
      <c r="E14" s="9">
        <f>1</f>
        <v>1</v>
      </c>
      <c r="F14" s="69" t="s">
        <v>107</v>
      </c>
      <c r="G14" s="69"/>
      <c r="H14" s="70"/>
      <c r="I14" s="4">
        <f>0</f>
        <v>0</v>
      </c>
      <c r="J14" s="58"/>
    </row>
    <row r="15" spans="1:12" x14ac:dyDescent="0.3">
      <c r="A15" s="10">
        <f t="shared" si="0"/>
        <v>11</v>
      </c>
      <c r="B15" s="3">
        <f>0</f>
        <v>0</v>
      </c>
      <c r="C15" s="3">
        <f>0</f>
        <v>0</v>
      </c>
      <c r="D15" s="6">
        <f>0</f>
        <v>0</v>
      </c>
      <c r="E15" s="9">
        <f>1</f>
        <v>1</v>
      </c>
      <c r="F15" s="71" t="s">
        <v>95</v>
      </c>
      <c r="G15" s="71"/>
      <c r="H15" s="72"/>
      <c r="I15" s="4">
        <f>0</f>
        <v>0</v>
      </c>
      <c r="J15" s="57">
        <f>1</f>
        <v>1</v>
      </c>
    </row>
    <row r="16" spans="1:12" x14ac:dyDescent="0.3">
      <c r="A16" s="10">
        <f t="shared" si="0"/>
        <v>12</v>
      </c>
      <c r="B16" s="3">
        <f>0</f>
        <v>0</v>
      </c>
      <c r="C16" s="3">
        <f>0</f>
        <v>0</v>
      </c>
      <c r="D16" s="6">
        <f>0</f>
        <v>0</v>
      </c>
      <c r="E16" s="9">
        <f>1</f>
        <v>1</v>
      </c>
      <c r="F16" s="64" t="s">
        <v>108</v>
      </c>
      <c r="G16" s="64"/>
      <c r="H16" s="65"/>
      <c r="I16" s="4">
        <f>0</f>
        <v>0</v>
      </c>
      <c r="J16" s="58"/>
    </row>
    <row r="17" spans="1:10" x14ac:dyDescent="0.3">
      <c r="A17" s="10">
        <f t="shared" si="0"/>
        <v>13</v>
      </c>
      <c r="B17" s="3">
        <f>0</f>
        <v>0</v>
      </c>
      <c r="C17" s="3">
        <f>0</f>
        <v>0</v>
      </c>
      <c r="D17" s="6">
        <f>0</f>
        <v>0</v>
      </c>
      <c r="E17" s="9">
        <f>1</f>
        <v>1</v>
      </c>
      <c r="F17" s="73" t="s">
        <v>96</v>
      </c>
      <c r="G17" s="73"/>
      <c r="H17" s="74"/>
      <c r="I17" s="4">
        <f>0</f>
        <v>0</v>
      </c>
      <c r="J17" s="57">
        <f>1</f>
        <v>1</v>
      </c>
    </row>
    <row r="18" spans="1:10" x14ac:dyDescent="0.3">
      <c r="A18" s="10">
        <f t="shared" si="0"/>
        <v>14</v>
      </c>
      <c r="B18" s="3">
        <f>0</f>
        <v>0</v>
      </c>
      <c r="C18" s="3">
        <f>0</f>
        <v>0</v>
      </c>
      <c r="D18" s="6">
        <f>0</f>
        <v>0</v>
      </c>
      <c r="E18" s="9">
        <f>1</f>
        <v>1</v>
      </c>
      <c r="F18" s="69" t="s">
        <v>109</v>
      </c>
      <c r="G18" s="69"/>
      <c r="H18" s="70"/>
      <c r="I18" s="4">
        <f>0</f>
        <v>0</v>
      </c>
      <c r="J18" s="58"/>
    </row>
    <row r="19" spans="1:10" x14ac:dyDescent="0.3">
      <c r="A19" s="10">
        <f t="shared" si="0"/>
        <v>15</v>
      </c>
      <c r="B19" s="3">
        <f>0</f>
        <v>0</v>
      </c>
      <c r="C19" s="3">
        <f>0</f>
        <v>0</v>
      </c>
      <c r="D19" s="6">
        <f>0</f>
        <v>0</v>
      </c>
      <c r="E19" s="9">
        <f>1</f>
        <v>1</v>
      </c>
      <c r="F19" s="71" t="s">
        <v>97</v>
      </c>
      <c r="G19" s="71"/>
      <c r="H19" s="72"/>
      <c r="I19" s="4">
        <f>0</f>
        <v>0</v>
      </c>
      <c r="J19" s="57">
        <f>1</f>
        <v>1</v>
      </c>
    </row>
    <row r="20" spans="1:10" x14ac:dyDescent="0.3">
      <c r="A20" s="10">
        <f t="shared" si="0"/>
        <v>16</v>
      </c>
      <c r="B20" s="3">
        <f>0</f>
        <v>0</v>
      </c>
      <c r="C20" s="3">
        <f>0</f>
        <v>0</v>
      </c>
      <c r="D20" s="6">
        <f>0</f>
        <v>0</v>
      </c>
      <c r="E20" s="9">
        <f>1</f>
        <v>1</v>
      </c>
      <c r="F20" s="64" t="s">
        <v>110</v>
      </c>
      <c r="G20" s="64"/>
      <c r="H20" s="65"/>
      <c r="I20" s="4">
        <f>0</f>
        <v>0</v>
      </c>
      <c r="J20" s="58"/>
    </row>
    <row r="21" spans="1:10" x14ac:dyDescent="0.3">
      <c r="A21" s="10">
        <f t="shared" si="0"/>
        <v>17</v>
      </c>
      <c r="B21" s="3">
        <f>0</f>
        <v>0</v>
      </c>
      <c r="C21" s="3">
        <f>0</f>
        <v>0</v>
      </c>
      <c r="D21" s="6">
        <f>0</f>
        <v>0</v>
      </c>
      <c r="E21" s="9">
        <f>1</f>
        <v>1</v>
      </c>
      <c r="F21" s="73" t="s">
        <v>98</v>
      </c>
      <c r="G21" s="73"/>
      <c r="H21" s="74"/>
      <c r="I21" s="4">
        <f>0</f>
        <v>0</v>
      </c>
      <c r="J21" s="57">
        <f>1</f>
        <v>1</v>
      </c>
    </row>
    <row r="22" spans="1:10" x14ac:dyDescent="0.3">
      <c r="A22" s="10">
        <f t="shared" si="0"/>
        <v>18</v>
      </c>
      <c r="B22" s="3">
        <f>0</f>
        <v>0</v>
      </c>
      <c r="C22" s="3">
        <f>0</f>
        <v>0</v>
      </c>
      <c r="D22" s="6">
        <f>0</f>
        <v>0</v>
      </c>
      <c r="E22" s="9">
        <f>1</f>
        <v>1</v>
      </c>
      <c r="F22" s="69" t="s">
        <v>111</v>
      </c>
      <c r="G22" s="69"/>
      <c r="H22" s="70"/>
      <c r="I22" s="4">
        <f>0</f>
        <v>0</v>
      </c>
      <c r="J22" s="58"/>
    </row>
    <row r="23" spans="1:10" x14ac:dyDescent="0.3">
      <c r="A23" s="10">
        <f t="shared" si="0"/>
        <v>19</v>
      </c>
      <c r="B23" s="3">
        <f>0</f>
        <v>0</v>
      </c>
      <c r="C23" s="3">
        <f>0</f>
        <v>0</v>
      </c>
      <c r="D23" s="6">
        <f>0</f>
        <v>0</v>
      </c>
      <c r="E23" s="9">
        <f>1</f>
        <v>1</v>
      </c>
      <c r="F23" s="71" t="s">
        <v>99</v>
      </c>
      <c r="G23" s="71"/>
      <c r="H23" s="72"/>
      <c r="I23" s="4">
        <f>0</f>
        <v>0</v>
      </c>
      <c r="J23" s="57">
        <f>1</f>
        <v>1</v>
      </c>
    </row>
    <row r="24" spans="1:10" x14ac:dyDescent="0.3">
      <c r="A24" s="10">
        <f t="shared" si="0"/>
        <v>20</v>
      </c>
      <c r="B24" s="3">
        <f>0</f>
        <v>0</v>
      </c>
      <c r="C24" s="3">
        <f>0</f>
        <v>0</v>
      </c>
      <c r="D24" s="6">
        <f>0</f>
        <v>0</v>
      </c>
      <c r="E24" s="9">
        <f>1</f>
        <v>1</v>
      </c>
      <c r="F24" s="64" t="s">
        <v>112</v>
      </c>
      <c r="G24" s="64"/>
      <c r="H24" s="65"/>
      <c r="I24" s="4">
        <f>0</f>
        <v>0</v>
      </c>
      <c r="J24" s="58"/>
    </row>
    <row r="25" spans="1:10" x14ac:dyDescent="0.3">
      <c r="A25" s="10">
        <f t="shared" si="0"/>
        <v>21</v>
      </c>
      <c r="B25" s="3">
        <f>0</f>
        <v>0</v>
      </c>
      <c r="C25" s="3">
        <f>0</f>
        <v>0</v>
      </c>
      <c r="D25" s="6">
        <f>0</f>
        <v>0</v>
      </c>
      <c r="E25" s="9">
        <f>1</f>
        <v>1</v>
      </c>
      <c r="F25" s="73" t="s">
        <v>100</v>
      </c>
      <c r="G25" s="73"/>
      <c r="H25" s="74"/>
      <c r="I25" s="4">
        <f>0</f>
        <v>0</v>
      </c>
      <c r="J25" s="57">
        <f>1</f>
        <v>1</v>
      </c>
    </row>
    <row r="26" spans="1:10" x14ac:dyDescent="0.3">
      <c r="A26" s="10">
        <f t="shared" si="0"/>
        <v>22</v>
      </c>
      <c r="B26" s="3">
        <f>0</f>
        <v>0</v>
      </c>
      <c r="C26" s="3">
        <f>0</f>
        <v>0</v>
      </c>
      <c r="D26" s="6">
        <f>0</f>
        <v>0</v>
      </c>
      <c r="E26" s="9">
        <f>1</f>
        <v>1</v>
      </c>
      <c r="F26" s="69" t="s">
        <v>113</v>
      </c>
      <c r="G26" s="69"/>
      <c r="H26" s="70"/>
      <c r="I26" s="4">
        <f>0</f>
        <v>0</v>
      </c>
      <c r="J26" s="58"/>
    </row>
    <row r="27" spans="1:10" x14ac:dyDescent="0.3">
      <c r="A27" s="10">
        <f t="shared" si="0"/>
        <v>23</v>
      </c>
      <c r="B27" s="3">
        <f>0</f>
        <v>0</v>
      </c>
      <c r="C27" s="3">
        <f>0</f>
        <v>0</v>
      </c>
      <c r="D27" s="6">
        <f>0</f>
        <v>0</v>
      </c>
      <c r="E27" s="9">
        <f>1</f>
        <v>1</v>
      </c>
      <c r="F27" s="71" t="s">
        <v>101</v>
      </c>
      <c r="G27" s="71"/>
      <c r="H27" s="72"/>
      <c r="I27" s="4">
        <f>0</f>
        <v>0</v>
      </c>
      <c r="J27" s="57">
        <f>1</f>
        <v>1</v>
      </c>
    </row>
    <row r="28" spans="1:10" x14ac:dyDescent="0.3">
      <c r="A28" s="10">
        <f t="shared" si="0"/>
        <v>24</v>
      </c>
      <c r="B28" s="3">
        <f>0</f>
        <v>0</v>
      </c>
      <c r="C28" s="3">
        <f>0</f>
        <v>0</v>
      </c>
      <c r="D28" s="6">
        <f>0</f>
        <v>0</v>
      </c>
      <c r="E28" s="9">
        <f>1</f>
        <v>1</v>
      </c>
      <c r="F28" s="64" t="s">
        <v>114</v>
      </c>
      <c r="G28" s="64"/>
      <c r="H28" s="65"/>
      <c r="I28" s="4">
        <f>0</f>
        <v>0</v>
      </c>
      <c r="J28" s="58"/>
    </row>
    <row r="29" spans="1:10" x14ac:dyDescent="0.3">
      <c r="A29" s="10">
        <f t="shared" si="0"/>
        <v>25</v>
      </c>
      <c r="B29" s="3">
        <f>0</f>
        <v>0</v>
      </c>
      <c r="C29" s="3">
        <f>0</f>
        <v>0</v>
      </c>
      <c r="D29" s="6">
        <f>0</f>
        <v>0</v>
      </c>
      <c r="E29" s="9">
        <f>1</f>
        <v>1</v>
      </c>
      <c r="F29" s="73" t="s">
        <v>102</v>
      </c>
      <c r="G29" s="73"/>
      <c r="H29" s="74"/>
      <c r="I29" s="4">
        <f>0</f>
        <v>0</v>
      </c>
      <c r="J29" s="57">
        <f>1</f>
        <v>1</v>
      </c>
    </row>
    <row r="30" spans="1:10" x14ac:dyDescent="0.3">
      <c r="A30" s="10">
        <f t="shared" si="0"/>
        <v>26</v>
      </c>
      <c r="B30" s="3">
        <f>0</f>
        <v>0</v>
      </c>
      <c r="C30" s="3">
        <f>0</f>
        <v>0</v>
      </c>
      <c r="D30" s="6">
        <f>0</f>
        <v>0</v>
      </c>
      <c r="E30" s="9">
        <f>1</f>
        <v>1</v>
      </c>
      <c r="F30" s="69" t="s">
        <v>115</v>
      </c>
      <c r="G30" s="69"/>
      <c r="H30" s="70"/>
      <c r="I30" s="4">
        <f>0</f>
        <v>0</v>
      </c>
      <c r="J30" s="58"/>
    </row>
    <row r="31" spans="1:10" ht="3.75" customHeight="1" x14ac:dyDescent="0.3">
      <c r="A31" s="14"/>
      <c r="B31" s="15"/>
      <c r="C31" s="15"/>
      <c r="D31" s="15"/>
      <c r="E31" s="15"/>
      <c r="F31" s="16"/>
      <c r="G31" s="16"/>
      <c r="H31" s="16"/>
      <c r="I31" s="5"/>
      <c r="J31" s="5"/>
    </row>
  </sheetData>
  <mergeCells count="45">
    <mergeCell ref="F30:H30"/>
    <mergeCell ref="J25:J26"/>
    <mergeCell ref="J27:J28"/>
    <mergeCell ref="F24:H24"/>
    <mergeCell ref="F15:H15"/>
    <mergeCell ref="F16:H16"/>
    <mergeCell ref="J29:J30"/>
    <mergeCell ref="F18:H18"/>
    <mergeCell ref="F21:H21"/>
    <mergeCell ref="F22:H22"/>
    <mergeCell ref="F23:H23"/>
    <mergeCell ref="F29:H29"/>
    <mergeCell ref="F27:H27"/>
    <mergeCell ref="F4:I4"/>
    <mergeCell ref="F5:H5"/>
    <mergeCell ref="F6:H6"/>
    <mergeCell ref="F7:H7"/>
    <mergeCell ref="F8:H8"/>
    <mergeCell ref="F9:H9"/>
    <mergeCell ref="F19:H19"/>
    <mergeCell ref="F20:H20"/>
    <mergeCell ref="F25:H25"/>
    <mergeCell ref="F26:H26"/>
    <mergeCell ref="F17:H17"/>
    <mergeCell ref="F3:J3"/>
    <mergeCell ref="A1:J1"/>
    <mergeCell ref="A3:E3"/>
    <mergeCell ref="F28:H28"/>
    <mergeCell ref="A2:B2"/>
    <mergeCell ref="C2:J2"/>
    <mergeCell ref="J15:J16"/>
    <mergeCell ref="J17:J18"/>
    <mergeCell ref="J19:J20"/>
    <mergeCell ref="J21:J22"/>
    <mergeCell ref="F10:H10"/>
    <mergeCell ref="F11:H11"/>
    <mergeCell ref="F12:H12"/>
    <mergeCell ref="F13:H13"/>
    <mergeCell ref="F14:H14"/>
    <mergeCell ref="J23:J24"/>
    <mergeCell ref="J5:J6"/>
    <mergeCell ref="J9:J10"/>
    <mergeCell ref="J7:J8"/>
    <mergeCell ref="J11:J12"/>
    <mergeCell ref="J13:J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Обнуление1">
                <anchor moveWithCells="1" sizeWithCells="1">
                  <from>
                    <xdr:col>1</xdr:col>
                    <xdr:colOff>22860</xdr:colOff>
                    <xdr:row>2</xdr:row>
                    <xdr:rowOff>76200</xdr:rowOff>
                  </from>
                  <to>
                    <xdr:col>5</xdr:col>
                    <xdr:colOff>0</xdr:colOff>
                    <xdr:row>2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обнуление3">
                <anchor moveWithCells="1" sizeWithCells="1">
                  <from>
                    <xdr:col>7</xdr:col>
                    <xdr:colOff>708660</xdr:colOff>
                    <xdr:row>2</xdr:row>
                    <xdr:rowOff>76200</xdr:rowOff>
                  </from>
                  <to>
                    <xdr:col>10</xdr:col>
                    <xdr:colOff>0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Drop Down 13">
              <controlPr defaultSize="0" autoLine="0" autoPict="0">
                <anchor moveWithCells="1">
                  <from>
                    <xdr:col>3</xdr:col>
                    <xdr:colOff>68580</xdr:colOff>
                    <xdr:row>3</xdr:row>
                    <xdr:rowOff>670560</xdr:rowOff>
                  </from>
                  <to>
                    <xdr:col>3</xdr:col>
                    <xdr:colOff>1363980</xdr:colOff>
                    <xdr:row>3</xdr:row>
                    <xdr:rowOff>868680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Check Box 19">
              <controlPr defaultSize="0" autoFill="0" autoLine="0" autoPict="0">
                <anchor moveWithCells="1">
                  <from>
                    <xdr:col>1</xdr:col>
                    <xdr:colOff>1211580</xdr:colOff>
                    <xdr:row>1</xdr:row>
                    <xdr:rowOff>60960</xdr:rowOff>
                  </from>
                  <to>
                    <xdr:col>1</xdr:col>
                    <xdr:colOff>1508760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Drop Down 20">
              <controlPr defaultSize="0" autoLine="0" autoPict="0">
                <anchor moveWithCells="1">
                  <from>
                    <xdr:col>5</xdr:col>
                    <xdr:colOff>60960</xdr:colOff>
                    <xdr:row>0</xdr:row>
                    <xdr:rowOff>7620</xdr:rowOff>
                  </from>
                  <to>
                    <xdr:col>9</xdr:col>
                    <xdr:colOff>693420</xdr:colOff>
                    <xdr:row>0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1434A-23DA-44DB-95EB-764F6F70EC9C}">
  <sheetPr codeName="Лист2"/>
  <dimension ref="A1:AP60"/>
  <sheetViews>
    <sheetView zoomScale="70" zoomScaleNormal="70" workbookViewId="0">
      <selection activeCell="C25" sqref="C25"/>
    </sheetView>
  </sheetViews>
  <sheetFormatPr defaultRowHeight="14.4" x14ac:dyDescent="0.3"/>
  <cols>
    <col min="1" max="1" width="52" customWidth="1"/>
    <col min="2" max="2" width="17.33203125" customWidth="1"/>
    <col min="3" max="3" width="8.88671875" customWidth="1"/>
    <col min="4" max="4" width="7.33203125" customWidth="1"/>
    <col min="6" max="6" width="6.5546875" customWidth="1"/>
    <col min="7" max="7" width="9.77734375" customWidth="1"/>
    <col min="8" max="8" width="6.33203125" customWidth="1"/>
    <col min="9" max="9" width="8.109375" customWidth="1"/>
    <col min="11" max="13" width="8.88671875" style="25"/>
    <col min="14" max="17" width="8.88671875" style="29" hidden="1" customWidth="1"/>
    <col min="18" max="18" width="7.6640625" style="29" hidden="1" customWidth="1"/>
    <col min="19" max="20" width="8.88671875" style="29" hidden="1" customWidth="1"/>
    <col min="21" max="21" width="10.44140625" style="29" customWidth="1"/>
    <col min="22" max="22" width="10" style="35" customWidth="1"/>
    <col min="33" max="33" width="10.77734375" customWidth="1"/>
    <col min="34" max="34" width="14.33203125" customWidth="1"/>
    <col min="35" max="35" width="10" customWidth="1"/>
    <col min="36" max="36" width="10.5546875" customWidth="1"/>
    <col min="37" max="37" width="11.88671875" customWidth="1"/>
    <col min="38" max="38" width="9.88671875" customWidth="1"/>
  </cols>
  <sheetData>
    <row r="1" spans="1:42" x14ac:dyDescent="0.3">
      <c r="I1" s="24"/>
    </row>
    <row r="2" spans="1:42" x14ac:dyDescent="0.3">
      <c r="A2" t="s">
        <v>146</v>
      </c>
      <c r="B2" s="1" t="s">
        <v>78</v>
      </c>
      <c r="C2" s="23">
        <v>2.7</v>
      </c>
      <c r="D2" s="23">
        <v>0.3</v>
      </c>
      <c r="E2" t="s">
        <v>73</v>
      </c>
      <c r="F2" s="23">
        <v>3.05</v>
      </c>
      <c r="G2" t="s">
        <v>74</v>
      </c>
      <c r="H2" s="23">
        <v>3.05</v>
      </c>
    </row>
    <row r="3" spans="1:42" x14ac:dyDescent="0.3">
      <c r="A3" t="s">
        <v>143</v>
      </c>
      <c r="B3" t="s">
        <v>76</v>
      </c>
      <c r="C3" s="23">
        <v>3.5</v>
      </c>
      <c r="D3" s="23">
        <v>0.30499999999999999</v>
      </c>
      <c r="E3" t="s">
        <v>73</v>
      </c>
      <c r="F3" s="23">
        <v>3.8</v>
      </c>
      <c r="G3" t="s">
        <v>74</v>
      </c>
      <c r="H3" s="23">
        <v>3.8</v>
      </c>
    </row>
    <row r="4" spans="1:42" x14ac:dyDescent="0.3">
      <c r="A4" t="s">
        <v>144</v>
      </c>
      <c r="B4" t="s">
        <v>77</v>
      </c>
      <c r="C4" s="23">
        <v>3</v>
      </c>
      <c r="D4" s="23">
        <v>0.30499999999999999</v>
      </c>
      <c r="E4" t="s">
        <v>73</v>
      </c>
      <c r="F4" s="23">
        <v>3</v>
      </c>
      <c r="G4" t="s">
        <v>74</v>
      </c>
      <c r="H4" s="23">
        <v>3</v>
      </c>
    </row>
    <row r="5" spans="1:42" x14ac:dyDescent="0.3">
      <c r="A5" t="s">
        <v>145</v>
      </c>
      <c r="B5" t="s">
        <v>75</v>
      </c>
      <c r="C5" s="23">
        <v>3</v>
      </c>
      <c r="D5" s="23">
        <v>0.3</v>
      </c>
      <c r="E5" t="s">
        <v>73</v>
      </c>
      <c r="F5" s="23">
        <v>3.05</v>
      </c>
      <c r="G5" t="s">
        <v>74</v>
      </c>
      <c r="H5" s="23">
        <v>3.05</v>
      </c>
    </row>
    <row r="6" spans="1:42" x14ac:dyDescent="0.3">
      <c r="A6" s="22">
        <v>3</v>
      </c>
      <c r="B6" s="24">
        <f>C6*D6</f>
        <v>0.91500000000000004</v>
      </c>
      <c r="C6" s="24" cm="1">
        <f t="array" ref="C6">INDEX(C2:C5,A6)</f>
        <v>3</v>
      </c>
      <c r="D6" s="24" cm="1">
        <f t="array" ref="D6">INDEX(D2:D5,A6)</f>
        <v>0.30499999999999999</v>
      </c>
      <c r="F6" s="24" cm="1">
        <f t="array" ref="F6">INDEX(F2:F5,A6)</f>
        <v>3</v>
      </c>
      <c r="H6" s="24" cm="1">
        <f t="array" ref="H6">INDEX(H2:H5,A6)</f>
        <v>3</v>
      </c>
    </row>
    <row r="11" spans="1:42" ht="86.4" x14ac:dyDescent="0.3">
      <c r="A11" s="11" t="s">
        <v>33</v>
      </c>
      <c r="B11" s="12" t="s">
        <v>34</v>
      </c>
      <c r="C11" s="7" t="s">
        <v>35</v>
      </c>
      <c r="D11" s="13" t="s">
        <v>36</v>
      </c>
      <c r="E11" s="8" t="s">
        <v>37</v>
      </c>
      <c r="F11" s="87" t="s">
        <v>38</v>
      </c>
      <c r="G11" s="88"/>
      <c r="H11" s="88"/>
      <c r="I11" s="89"/>
      <c r="J11" s="8" t="s">
        <v>6</v>
      </c>
      <c r="K11" s="26" t="s">
        <v>42</v>
      </c>
      <c r="L11" s="34" t="s">
        <v>117</v>
      </c>
      <c r="M11" s="34" t="s">
        <v>85</v>
      </c>
      <c r="N11" s="30"/>
      <c r="O11" s="30"/>
      <c r="P11" s="30"/>
      <c r="Q11" s="30"/>
      <c r="R11" s="30"/>
      <c r="S11" s="30"/>
      <c r="T11" s="30"/>
      <c r="U11" s="30" t="s">
        <v>119</v>
      </c>
      <c r="V11" s="36" t="s">
        <v>118</v>
      </c>
      <c r="W11" s="30" t="s">
        <v>127</v>
      </c>
      <c r="X11" s="38" t="s">
        <v>123</v>
      </c>
      <c r="Y11" s="43" t="s">
        <v>120</v>
      </c>
      <c r="Z11" s="36" t="s">
        <v>124</v>
      </c>
      <c r="AA11" s="38" t="s">
        <v>121</v>
      </c>
      <c r="AB11" s="43" t="s">
        <v>122</v>
      </c>
      <c r="AC11" s="36" t="s">
        <v>125</v>
      </c>
      <c r="AD11" s="43" t="s">
        <v>126</v>
      </c>
      <c r="AE11" s="43" t="s">
        <v>40</v>
      </c>
      <c r="AF11" s="49" t="s">
        <v>129</v>
      </c>
      <c r="AG11" s="49" t="s">
        <v>130</v>
      </c>
      <c r="AH11" s="38" t="s">
        <v>138</v>
      </c>
      <c r="AI11" s="46" t="s">
        <v>40</v>
      </c>
      <c r="AJ11" s="8" t="s">
        <v>41</v>
      </c>
      <c r="AK11" s="46" t="s">
        <v>43</v>
      </c>
      <c r="AL11" s="46" t="s">
        <v>44</v>
      </c>
      <c r="AM11" s="8" t="s">
        <v>45</v>
      </c>
      <c r="AN11" s="8" t="s">
        <v>46</v>
      </c>
      <c r="AO11" s="51" t="s">
        <v>47</v>
      </c>
      <c r="AP11" s="8" t="s">
        <v>56</v>
      </c>
    </row>
    <row r="12" spans="1:42" x14ac:dyDescent="0.3">
      <c r="A12" s="10">
        <v>1</v>
      </c>
      <c r="B12" s="3">
        <f>Расчет!B5/COS(RADIANS(K12))</f>
        <v>3.25</v>
      </c>
      <c r="C12" s="3">
        <f>Расчет!C5</f>
        <v>5.8</v>
      </c>
      <c r="D12" s="6">
        <f>Расчет!D5</f>
        <v>0</v>
      </c>
      <c r="E12" s="9">
        <f>Расчет!E5</f>
        <v>1</v>
      </c>
      <c r="F12" s="78" t="s">
        <v>7</v>
      </c>
      <c r="G12" s="78"/>
      <c r="H12" s="79"/>
      <c r="I12" s="4">
        <f>Расчет!I5</f>
        <v>0</v>
      </c>
      <c r="J12" s="57">
        <f>Расчет!J5</f>
        <v>1</v>
      </c>
      <c r="K12" s="27">
        <f>IF(Расчет!$B$55=1,D12,ATAN(0.01*D12)*180/3.14159265359)</f>
        <v>0</v>
      </c>
      <c r="L12" s="27">
        <f t="shared" ref="L12:L37" si="0">MAX(B12,C12)</f>
        <v>5.8</v>
      </c>
      <c r="M12" s="39">
        <f>MIN(B12,C12)</f>
        <v>3.25</v>
      </c>
      <c r="N12" s="31">
        <f>M12-$C$6</f>
        <v>0.25</v>
      </c>
      <c r="O12" s="31">
        <f t="shared" ref="O12:O37" si="1">M12-2*$C$6</f>
        <v>-2.75</v>
      </c>
      <c r="P12" s="31">
        <f t="shared" ref="P12:P37" si="2">M12-3*$C$6</f>
        <v>-5.75</v>
      </c>
      <c r="Q12" s="31">
        <f t="shared" ref="Q12:Q37" si="3">M12-4*$C$6</f>
        <v>-8.75</v>
      </c>
      <c r="R12" s="31">
        <f t="shared" ref="R12:R37" si="4">M12-5*$C$6</f>
        <v>-11.75</v>
      </c>
      <c r="S12" s="31">
        <f>M12-6*$C$6</f>
        <v>-14.75</v>
      </c>
      <c r="T12" s="31">
        <f>M12-7*$C$6</f>
        <v>-17.75</v>
      </c>
      <c r="U12" s="31" cm="1">
        <f t="array" ref="U12">_xlfn._xlws.FILTER(M12:T12, (M12:T12 &gt;= 0) * (M12:T12 &lt; $C$6), "Нет чисел")</f>
        <v>0.25</v>
      </c>
      <c r="V12" s="40">
        <f>IF(U12=0,1,IF(M12&lt;$C$6,($C$6/(INT($C$6/U12)*U12)),((INT(M12/$C$6)*$C$6+$C$6/INT($C$6/U12))/M12)))</f>
        <v>1</v>
      </c>
      <c r="W12" s="21">
        <f t="shared" ref="W12:W37" si="5">IF(L12=0,1,L12/(INT(L12/$D$6)*$D$6))</f>
        <v>1.0008628127696291</v>
      </c>
      <c r="X12" s="31">
        <f t="shared" ref="X12:X37" si="6">IF(V12&gt;1.3,U12/2,U12)</f>
        <v>0.25</v>
      </c>
      <c r="Y12" s="40">
        <f>IF(X12=U12,0,L12)*E12</f>
        <v>0</v>
      </c>
      <c r="Z12" s="21">
        <f t="shared" ref="Z12:Z37" si="7">IF(U12=0,1,IF(M12&lt;$C$6,($C$6/(INT($C$6/X12)*X12)),((INT(M12/$C$6)*$C$6+$C$6/INT($C$6/X12))/M12)))</f>
        <v>1</v>
      </c>
      <c r="AA12" s="21">
        <f>IF(Z12&gt;1.3,X12/2,X12)</f>
        <v>0.25</v>
      </c>
      <c r="AB12" s="40">
        <f>IF(X12=AA12,0,L12)*E12</f>
        <v>0</v>
      </c>
      <c r="AC12">
        <f t="shared" ref="AC12:AC37" si="8">IF(AA12=0,1,IF(M12&lt;$C$6,($C$6/(INT($C$6/AA12)*AA12)),((INT(M12/$C$6)*$C$6+$C$6/INT($C$6/AA12))/M12)))</f>
        <v>1</v>
      </c>
      <c r="AD12" s="37">
        <f>MAX(W12,AC12)</f>
        <v>1.0008628127696291</v>
      </c>
      <c r="AE12" s="25">
        <f>L12*M12*E12*AD12</f>
        <v>18.866264020707504</v>
      </c>
      <c r="AF12">
        <f>INT((M12-0.0001)/$C$6)*L12*E12</f>
        <v>5.8</v>
      </c>
      <c r="AG12" s="29">
        <f>Y12+AB12+AF12</f>
        <v>5.8</v>
      </c>
      <c r="AH12" s="21">
        <f>AI12*MAX(V12,W12)</f>
        <v>18.866264020707504</v>
      </c>
      <c r="AI12" s="47">
        <f t="shared" ref="AI12:AI37" si="9">B12*C12*E12</f>
        <v>18.849999999999998</v>
      </c>
      <c r="AJ12" s="5">
        <f>I12*I13*J12+I14*I15*J14+I16*I17*J16+I18*I19*J18+I20*I21*J20+I22*I23*J22+I24*I25*J24+I26*I27*J26+I28*I29*J28+I30*I31*J30+I32*I33*J32+I34*I35*J34+I36*I37*J36</f>
        <v>0</v>
      </c>
      <c r="AK12" s="48">
        <f>AI38-AJ12</f>
        <v>27.58</v>
      </c>
      <c r="AL12" s="47">
        <f>AK12*1.1</f>
        <v>30.338000000000001</v>
      </c>
      <c r="AM12">
        <f>L12*E12</f>
        <v>5.8</v>
      </c>
      <c r="AN12">
        <f>M12*E12</f>
        <v>3.25</v>
      </c>
      <c r="AO12" s="50">
        <f>IF(J45=TRUE,J46,AM38+AN38-J42)*1.03</f>
        <v>39.655000000000001</v>
      </c>
      <c r="AP12" s="80">
        <f>MIN(I12,I13)*J12</f>
        <v>0</v>
      </c>
    </row>
    <row r="13" spans="1:42" x14ac:dyDescent="0.3">
      <c r="A13" s="10">
        <f>A12+1</f>
        <v>2</v>
      </c>
      <c r="B13" s="3">
        <f>Расчет!B6/COS(RADIANS(K13))</f>
        <v>1.55</v>
      </c>
      <c r="C13" s="3">
        <f>Расчет!C6</f>
        <v>3</v>
      </c>
      <c r="D13" s="6">
        <f>Расчет!D6</f>
        <v>0</v>
      </c>
      <c r="E13" s="9">
        <f>Расчет!E6</f>
        <v>1</v>
      </c>
      <c r="F13" s="81" t="s">
        <v>8</v>
      </c>
      <c r="G13" s="81"/>
      <c r="H13" s="82"/>
      <c r="I13" s="4">
        <f>Расчет!I6</f>
        <v>0</v>
      </c>
      <c r="J13" s="58"/>
      <c r="K13" s="27">
        <f>IF(Расчет!$B$55=1,D13,ATAN(0.01*D13)*180/3.14159265359)</f>
        <v>0</v>
      </c>
      <c r="L13" s="27">
        <f t="shared" si="0"/>
        <v>3</v>
      </c>
      <c r="M13" s="39">
        <f t="shared" ref="M13:M37" si="10">MIN(B13,C13)</f>
        <v>1.55</v>
      </c>
      <c r="N13" s="31">
        <f t="shared" ref="N13:N37" si="11">M13-$C$6</f>
        <v>-1.45</v>
      </c>
      <c r="O13" s="31">
        <f t="shared" si="1"/>
        <v>-4.45</v>
      </c>
      <c r="P13" s="31">
        <f t="shared" si="2"/>
        <v>-7.45</v>
      </c>
      <c r="Q13" s="31">
        <f t="shared" si="3"/>
        <v>-10.45</v>
      </c>
      <c r="R13" s="31">
        <f t="shared" si="4"/>
        <v>-13.45</v>
      </c>
      <c r="S13" s="31">
        <f t="shared" ref="S13:S37" si="12">M13-6*$C$6</f>
        <v>-16.45</v>
      </c>
      <c r="T13" s="31">
        <f t="shared" ref="T13:T37" si="13">M13-7*$C$6</f>
        <v>-19.45</v>
      </c>
      <c r="U13" s="31" cm="1">
        <f t="array" ref="U13">_xlfn._xlws.FILTER(M13:T13, (M13:T13 &gt;= 0) * (M13:T13 &lt; $C$6), "Нет чисел")</f>
        <v>1.55</v>
      </c>
      <c r="V13" s="40">
        <f t="shared" ref="V13:V37" si="14">IF(U13=0,1,IF(M13&lt;$C$6,($C$6/(INT($C$6/U13)*U13)),((INT(M13/$C$6)*$C$6+$C$6/INT($C$6/U13))/M13)))</f>
        <v>1.9354838709677418</v>
      </c>
      <c r="W13" s="21">
        <f t="shared" si="5"/>
        <v>1.0928961748633879</v>
      </c>
      <c r="X13" s="31">
        <f t="shared" si="6"/>
        <v>0.77500000000000002</v>
      </c>
      <c r="Y13" s="40">
        <f t="shared" ref="Y13:Y37" si="15">IF(X13=U13,0,L13)*E13</f>
        <v>3</v>
      </c>
      <c r="Z13" s="21">
        <f t="shared" si="7"/>
        <v>1.2903225806451613</v>
      </c>
      <c r="AA13" s="21">
        <f t="shared" ref="AA13:AA37" si="16">IF(Z13&gt;1.3,X13/2,X13)</f>
        <v>0.77500000000000002</v>
      </c>
      <c r="AB13" s="40">
        <f t="shared" ref="AB13:AB37" si="17">IF(X13=AA13,0,L13)*E13</f>
        <v>0</v>
      </c>
      <c r="AC13">
        <f t="shared" si="8"/>
        <v>1.2903225806451613</v>
      </c>
      <c r="AD13" s="37">
        <f t="shared" ref="AD13:AD37" si="18">MAX(W13,AC13)</f>
        <v>1.2903225806451613</v>
      </c>
      <c r="AE13" s="25">
        <f t="shared" ref="AE13:AE37" si="19">L13*M13*E13*AD13</f>
        <v>6</v>
      </c>
      <c r="AF13">
        <f>INT((M13-0.0001)/$C$6)*L13*E13</f>
        <v>0</v>
      </c>
      <c r="AG13" s="29">
        <f t="shared" ref="AG13:AG37" si="20">Y13+AB13+AF13</f>
        <v>3</v>
      </c>
      <c r="AH13" s="21">
        <f t="shared" ref="AH13:AH37" si="21">AI13*MAX(V13,W13)</f>
        <v>9</v>
      </c>
      <c r="AI13" s="47">
        <f t="shared" si="9"/>
        <v>4.6500000000000004</v>
      </c>
      <c r="AK13" s="47"/>
      <c r="AL13" s="47"/>
      <c r="AM13">
        <f t="shared" ref="AM13:AM37" si="22">L13*E13</f>
        <v>3</v>
      </c>
      <c r="AN13">
        <f t="shared" ref="AN13:AN37" si="23">M13*E13</f>
        <v>1.55</v>
      </c>
      <c r="AP13" s="80"/>
    </row>
    <row r="14" spans="1:42" x14ac:dyDescent="0.3">
      <c r="A14" s="10">
        <f t="shared" ref="A14:A37" si="24">A13+1</f>
        <v>3</v>
      </c>
      <c r="B14" s="3">
        <f>Расчет!B7/COS(RADIANS(K14))</f>
        <v>4.8</v>
      </c>
      <c r="C14" s="3">
        <f>Расчет!C7</f>
        <v>0.85</v>
      </c>
      <c r="D14" s="6">
        <f>Расчет!D7</f>
        <v>0</v>
      </c>
      <c r="E14" s="9">
        <f>Расчет!E7</f>
        <v>1</v>
      </c>
      <c r="F14" s="83" t="s">
        <v>9</v>
      </c>
      <c r="G14" s="83"/>
      <c r="H14" s="84"/>
      <c r="I14" s="4">
        <f>Расчет!I7</f>
        <v>0</v>
      </c>
      <c r="J14" s="57">
        <f>Расчет!J7</f>
        <v>1</v>
      </c>
      <c r="K14" s="27">
        <f>IF(Расчет!$B$55=1,D14,ATAN(0.01*D14)*180/3.14159265359)</f>
        <v>0</v>
      </c>
      <c r="L14" s="27">
        <f t="shared" si="0"/>
        <v>4.8</v>
      </c>
      <c r="M14" s="39">
        <f t="shared" si="10"/>
        <v>0.85</v>
      </c>
      <c r="N14" s="31">
        <f t="shared" si="11"/>
        <v>-2.15</v>
      </c>
      <c r="O14" s="31">
        <f t="shared" si="1"/>
        <v>-5.15</v>
      </c>
      <c r="P14" s="31">
        <f t="shared" si="2"/>
        <v>-8.15</v>
      </c>
      <c r="Q14" s="31">
        <f t="shared" si="3"/>
        <v>-11.15</v>
      </c>
      <c r="R14" s="31">
        <f t="shared" si="4"/>
        <v>-14.15</v>
      </c>
      <c r="S14" s="31">
        <f t="shared" si="12"/>
        <v>-17.149999999999999</v>
      </c>
      <c r="T14" s="31">
        <f t="shared" si="13"/>
        <v>-20.149999999999999</v>
      </c>
      <c r="U14" s="31" cm="1">
        <f t="array" ref="U14">_xlfn._xlws.FILTER(M14:T14, (M14:T14 &gt;= 0) * (M14:T14 &lt; $C$6), "Нет чисел")</f>
        <v>0.85</v>
      </c>
      <c r="V14" s="40">
        <f t="shared" si="14"/>
        <v>1.1764705882352942</v>
      </c>
      <c r="W14" s="21">
        <f t="shared" si="5"/>
        <v>1.0491803278688523</v>
      </c>
      <c r="X14" s="31">
        <f t="shared" si="6"/>
        <v>0.85</v>
      </c>
      <c r="Y14" s="40">
        <f t="shared" si="15"/>
        <v>0</v>
      </c>
      <c r="Z14" s="21">
        <f t="shared" si="7"/>
        <v>1.1764705882352942</v>
      </c>
      <c r="AA14" s="21">
        <f t="shared" si="16"/>
        <v>0.85</v>
      </c>
      <c r="AB14" s="40">
        <f t="shared" si="17"/>
        <v>0</v>
      </c>
      <c r="AC14">
        <f t="shared" si="8"/>
        <v>1.1764705882352942</v>
      </c>
      <c r="AD14" s="37">
        <f t="shared" si="18"/>
        <v>1.1764705882352942</v>
      </c>
      <c r="AE14" s="25">
        <f t="shared" si="19"/>
        <v>4.8</v>
      </c>
      <c r="AF14">
        <f t="shared" ref="AF14:AF37" si="25">INT((M14-0.0001)/$C$6)*L14*E14</f>
        <v>0</v>
      </c>
      <c r="AG14" s="29">
        <f t="shared" si="20"/>
        <v>0</v>
      </c>
      <c r="AH14" s="21">
        <f t="shared" si="21"/>
        <v>4.8</v>
      </c>
      <c r="AI14" s="47">
        <f t="shared" si="9"/>
        <v>4.08</v>
      </c>
      <c r="AM14">
        <f t="shared" si="22"/>
        <v>4.8</v>
      </c>
      <c r="AN14">
        <f t="shared" si="23"/>
        <v>0.85</v>
      </c>
      <c r="AP14" s="80">
        <f>MIN(I14,I15)*J14</f>
        <v>0</v>
      </c>
    </row>
    <row r="15" spans="1:42" x14ac:dyDescent="0.3">
      <c r="A15" s="10">
        <f t="shared" si="24"/>
        <v>4</v>
      </c>
      <c r="B15" s="3">
        <f>Расчет!B8/COS(RADIANS(K15))</f>
        <v>0</v>
      </c>
      <c r="C15" s="3">
        <f>Расчет!C8</f>
        <v>0</v>
      </c>
      <c r="D15" s="6">
        <f>Расчет!D8</f>
        <v>0</v>
      </c>
      <c r="E15" s="9">
        <f>Расчет!E8</f>
        <v>1</v>
      </c>
      <c r="F15" s="85" t="s">
        <v>10</v>
      </c>
      <c r="G15" s="85"/>
      <c r="H15" s="86"/>
      <c r="I15" s="4">
        <f>Расчет!I8</f>
        <v>0</v>
      </c>
      <c r="J15" s="58"/>
      <c r="K15" s="27">
        <f>IF(Расчет!$B$55=1,D15,ATAN(0.01*D15)*180/3.14159265359)</f>
        <v>0</v>
      </c>
      <c r="L15" s="27">
        <f t="shared" si="0"/>
        <v>0</v>
      </c>
      <c r="M15" s="39">
        <f t="shared" si="10"/>
        <v>0</v>
      </c>
      <c r="N15" s="31">
        <f t="shared" si="11"/>
        <v>-3</v>
      </c>
      <c r="O15" s="31">
        <f t="shared" si="1"/>
        <v>-6</v>
      </c>
      <c r="P15" s="31">
        <f t="shared" si="2"/>
        <v>-9</v>
      </c>
      <c r="Q15" s="31">
        <f t="shared" si="3"/>
        <v>-12</v>
      </c>
      <c r="R15" s="31">
        <f t="shared" si="4"/>
        <v>-15</v>
      </c>
      <c r="S15" s="31">
        <f t="shared" si="12"/>
        <v>-18</v>
      </c>
      <c r="T15" s="31">
        <f t="shared" si="13"/>
        <v>-21</v>
      </c>
      <c r="U15" s="31" cm="1">
        <f t="array" ref="U15">_xlfn._xlws.FILTER(M15:T15, (M15:T15 &gt;= 0) * (M15:T15 &lt; $C$6), "Нет чисел")</f>
        <v>0</v>
      </c>
      <c r="V15" s="40">
        <f t="shared" si="14"/>
        <v>1</v>
      </c>
      <c r="W15" s="21">
        <f t="shared" si="5"/>
        <v>1</v>
      </c>
      <c r="X15" s="31">
        <f t="shared" si="6"/>
        <v>0</v>
      </c>
      <c r="Y15" s="40">
        <f t="shared" si="15"/>
        <v>0</v>
      </c>
      <c r="Z15" s="21">
        <f t="shared" si="7"/>
        <v>1</v>
      </c>
      <c r="AA15" s="21">
        <f t="shared" si="16"/>
        <v>0</v>
      </c>
      <c r="AB15" s="40">
        <f t="shared" si="17"/>
        <v>0</v>
      </c>
      <c r="AC15">
        <f t="shared" si="8"/>
        <v>1</v>
      </c>
      <c r="AD15" s="37">
        <f t="shared" si="18"/>
        <v>1</v>
      </c>
      <c r="AE15" s="25">
        <f t="shared" si="19"/>
        <v>0</v>
      </c>
      <c r="AF15">
        <f t="shared" si="25"/>
        <v>0</v>
      </c>
      <c r="AG15" s="29">
        <f t="shared" si="20"/>
        <v>0</v>
      </c>
      <c r="AH15" s="21">
        <f t="shared" si="21"/>
        <v>0</v>
      </c>
      <c r="AI15" s="47">
        <f t="shared" si="9"/>
        <v>0</v>
      </c>
      <c r="AM15">
        <f t="shared" si="22"/>
        <v>0</v>
      </c>
      <c r="AN15">
        <f t="shared" si="23"/>
        <v>0</v>
      </c>
      <c r="AP15" s="80"/>
    </row>
    <row r="16" spans="1:42" x14ac:dyDescent="0.3">
      <c r="A16" s="10">
        <f t="shared" si="24"/>
        <v>5</v>
      </c>
      <c r="B16" s="3">
        <f>Расчет!B9/COS(RADIANS(K16))</f>
        <v>0</v>
      </c>
      <c r="C16" s="3">
        <f>Расчет!C9</f>
        <v>0</v>
      </c>
      <c r="D16" s="6">
        <f>Расчет!D9</f>
        <v>0</v>
      </c>
      <c r="E16" s="9">
        <f>Расчет!E9</f>
        <v>1</v>
      </c>
      <c r="F16" s="78" t="s">
        <v>11</v>
      </c>
      <c r="G16" s="78"/>
      <c r="H16" s="79"/>
      <c r="I16" s="4">
        <f>Расчет!I9</f>
        <v>0</v>
      </c>
      <c r="J16" s="57">
        <f>Расчет!J9</f>
        <v>1</v>
      </c>
      <c r="K16" s="27">
        <f>IF(Расчет!$B$55=1,D16,ATAN(0.01*D16)*180/3.14159265359)</f>
        <v>0</v>
      </c>
      <c r="L16" s="27">
        <f t="shared" si="0"/>
        <v>0</v>
      </c>
      <c r="M16" s="39">
        <f t="shared" si="10"/>
        <v>0</v>
      </c>
      <c r="N16" s="31">
        <f t="shared" si="11"/>
        <v>-3</v>
      </c>
      <c r="O16" s="31">
        <f t="shared" si="1"/>
        <v>-6</v>
      </c>
      <c r="P16" s="31">
        <f t="shared" si="2"/>
        <v>-9</v>
      </c>
      <c r="Q16" s="31">
        <f t="shared" si="3"/>
        <v>-12</v>
      </c>
      <c r="R16" s="31">
        <f t="shared" si="4"/>
        <v>-15</v>
      </c>
      <c r="S16" s="31">
        <f t="shared" si="12"/>
        <v>-18</v>
      </c>
      <c r="T16" s="31">
        <f t="shared" si="13"/>
        <v>-21</v>
      </c>
      <c r="U16" s="31" cm="1">
        <f t="array" ref="U16">_xlfn._xlws.FILTER(M16:T16, (M16:T16 &gt;= 0) * (M16:T16 &lt; $C$6), "Нет чисел")</f>
        <v>0</v>
      </c>
      <c r="V16" s="40">
        <f t="shared" si="14"/>
        <v>1</v>
      </c>
      <c r="W16" s="21">
        <f t="shared" si="5"/>
        <v>1</v>
      </c>
      <c r="X16" s="31">
        <f t="shared" si="6"/>
        <v>0</v>
      </c>
      <c r="Y16" s="40">
        <f t="shared" si="15"/>
        <v>0</v>
      </c>
      <c r="Z16" s="21">
        <f t="shared" si="7"/>
        <v>1</v>
      </c>
      <c r="AA16" s="21">
        <f t="shared" si="16"/>
        <v>0</v>
      </c>
      <c r="AB16" s="40">
        <f t="shared" si="17"/>
        <v>0</v>
      </c>
      <c r="AC16">
        <f t="shared" si="8"/>
        <v>1</v>
      </c>
      <c r="AD16" s="37">
        <f t="shared" si="18"/>
        <v>1</v>
      </c>
      <c r="AE16" s="25">
        <f t="shared" si="19"/>
        <v>0</v>
      </c>
      <c r="AF16">
        <f t="shared" si="25"/>
        <v>0</v>
      </c>
      <c r="AG16" s="29">
        <f t="shared" si="20"/>
        <v>0</v>
      </c>
      <c r="AH16" s="21">
        <f t="shared" si="21"/>
        <v>0</v>
      </c>
      <c r="AI16" s="47">
        <f t="shared" si="9"/>
        <v>0</v>
      </c>
      <c r="AM16">
        <f t="shared" si="22"/>
        <v>0</v>
      </c>
      <c r="AN16">
        <f t="shared" si="23"/>
        <v>0</v>
      </c>
      <c r="AP16" s="80">
        <f>MIN(I16,I17)*J16</f>
        <v>0</v>
      </c>
    </row>
    <row r="17" spans="1:42" x14ac:dyDescent="0.3">
      <c r="A17" s="10">
        <f t="shared" si="24"/>
        <v>6</v>
      </c>
      <c r="B17" s="3">
        <f>Расчет!B10/COS(RADIANS(K17))</f>
        <v>0</v>
      </c>
      <c r="C17" s="3">
        <f>Расчет!C10</f>
        <v>0</v>
      </c>
      <c r="D17" s="6">
        <f>Расчет!D10</f>
        <v>0</v>
      </c>
      <c r="E17" s="9">
        <f>Расчет!E10</f>
        <v>1</v>
      </c>
      <c r="F17" s="81" t="s">
        <v>12</v>
      </c>
      <c r="G17" s="81"/>
      <c r="H17" s="82"/>
      <c r="I17" s="4">
        <f>Расчет!I10</f>
        <v>0</v>
      </c>
      <c r="J17" s="58"/>
      <c r="K17" s="27">
        <f>IF(Расчет!$B$55=1,D17,ATAN(0.01*D17)*180/3.14159265359)</f>
        <v>0</v>
      </c>
      <c r="L17" s="27">
        <f t="shared" si="0"/>
        <v>0</v>
      </c>
      <c r="M17" s="39">
        <f t="shared" si="10"/>
        <v>0</v>
      </c>
      <c r="N17" s="31">
        <f t="shared" si="11"/>
        <v>-3</v>
      </c>
      <c r="O17" s="31">
        <f t="shared" si="1"/>
        <v>-6</v>
      </c>
      <c r="P17" s="31">
        <f t="shared" si="2"/>
        <v>-9</v>
      </c>
      <c r="Q17" s="31">
        <f t="shared" si="3"/>
        <v>-12</v>
      </c>
      <c r="R17" s="31">
        <f t="shared" si="4"/>
        <v>-15</v>
      </c>
      <c r="S17" s="31">
        <f t="shared" si="12"/>
        <v>-18</v>
      </c>
      <c r="T17" s="31">
        <f t="shared" si="13"/>
        <v>-21</v>
      </c>
      <c r="U17" s="31" cm="1">
        <f t="array" ref="U17">_xlfn._xlws.FILTER(M17:T17, (M17:T17 &gt;= 0) * (M17:T17 &lt; $C$6), "Нет чисел")</f>
        <v>0</v>
      </c>
      <c r="V17" s="40">
        <f t="shared" si="14"/>
        <v>1</v>
      </c>
      <c r="W17" s="21">
        <f t="shared" si="5"/>
        <v>1</v>
      </c>
      <c r="X17" s="31">
        <f t="shared" si="6"/>
        <v>0</v>
      </c>
      <c r="Y17" s="40">
        <f t="shared" si="15"/>
        <v>0</v>
      </c>
      <c r="Z17" s="21">
        <f t="shared" si="7"/>
        <v>1</v>
      </c>
      <c r="AA17" s="21">
        <f t="shared" si="16"/>
        <v>0</v>
      </c>
      <c r="AB17" s="40">
        <f t="shared" si="17"/>
        <v>0</v>
      </c>
      <c r="AC17">
        <f t="shared" si="8"/>
        <v>1</v>
      </c>
      <c r="AD17" s="37">
        <f t="shared" si="18"/>
        <v>1</v>
      </c>
      <c r="AE17" s="25">
        <f t="shared" si="19"/>
        <v>0</v>
      </c>
      <c r="AF17">
        <f t="shared" si="25"/>
        <v>0</v>
      </c>
      <c r="AG17" s="29">
        <f t="shared" si="20"/>
        <v>0</v>
      </c>
      <c r="AH17" s="21">
        <f t="shared" si="21"/>
        <v>0</v>
      </c>
      <c r="AI17" s="47">
        <f t="shared" si="9"/>
        <v>0</v>
      </c>
      <c r="AM17">
        <f t="shared" si="22"/>
        <v>0</v>
      </c>
      <c r="AN17">
        <f t="shared" si="23"/>
        <v>0</v>
      </c>
      <c r="AP17" s="80"/>
    </row>
    <row r="18" spans="1:42" x14ac:dyDescent="0.3">
      <c r="A18" s="10">
        <f t="shared" si="24"/>
        <v>7</v>
      </c>
      <c r="B18" s="3">
        <f>Расчет!B11/COS(RADIANS(K18))</f>
        <v>0</v>
      </c>
      <c r="C18" s="3">
        <f>Расчет!C11</f>
        <v>0</v>
      </c>
      <c r="D18" s="6">
        <f>Расчет!D11</f>
        <v>0</v>
      </c>
      <c r="E18" s="9">
        <f>Расчет!E11</f>
        <v>1</v>
      </c>
      <c r="F18" s="83" t="s">
        <v>13</v>
      </c>
      <c r="G18" s="83"/>
      <c r="H18" s="84"/>
      <c r="I18" s="4">
        <f>Расчет!I11</f>
        <v>0</v>
      </c>
      <c r="J18" s="57">
        <f>Расчет!J11</f>
        <v>1</v>
      </c>
      <c r="K18" s="27">
        <f>IF(Расчет!$B$55=1,D18,ATAN(0.01*D18)*180/3.14159265359)</f>
        <v>0</v>
      </c>
      <c r="L18" s="27">
        <f t="shared" si="0"/>
        <v>0</v>
      </c>
      <c r="M18" s="39">
        <f t="shared" si="10"/>
        <v>0</v>
      </c>
      <c r="N18" s="31">
        <f t="shared" si="11"/>
        <v>-3</v>
      </c>
      <c r="O18" s="31">
        <f t="shared" si="1"/>
        <v>-6</v>
      </c>
      <c r="P18" s="31">
        <f t="shared" si="2"/>
        <v>-9</v>
      </c>
      <c r="Q18" s="31">
        <f t="shared" si="3"/>
        <v>-12</v>
      </c>
      <c r="R18" s="31">
        <f t="shared" si="4"/>
        <v>-15</v>
      </c>
      <c r="S18" s="31">
        <f t="shared" si="12"/>
        <v>-18</v>
      </c>
      <c r="T18" s="31">
        <f t="shared" si="13"/>
        <v>-21</v>
      </c>
      <c r="U18" s="31" cm="1">
        <f t="array" ref="U18">_xlfn._xlws.FILTER(M18:T18, (M18:T18 &gt;= 0) * (M18:T18 &lt; $C$6), "Нет чисел")</f>
        <v>0</v>
      </c>
      <c r="V18" s="40">
        <f t="shared" si="14"/>
        <v>1</v>
      </c>
      <c r="W18" s="21">
        <f t="shared" si="5"/>
        <v>1</v>
      </c>
      <c r="X18" s="31">
        <f t="shared" si="6"/>
        <v>0</v>
      </c>
      <c r="Y18" s="40">
        <f t="shared" si="15"/>
        <v>0</v>
      </c>
      <c r="Z18" s="21">
        <f t="shared" si="7"/>
        <v>1</v>
      </c>
      <c r="AA18" s="21">
        <f t="shared" si="16"/>
        <v>0</v>
      </c>
      <c r="AB18" s="40">
        <f t="shared" si="17"/>
        <v>0</v>
      </c>
      <c r="AC18">
        <f t="shared" si="8"/>
        <v>1</v>
      </c>
      <c r="AD18" s="37">
        <f t="shared" si="18"/>
        <v>1</v>
      </c>
      <c r="AE18" s="25">
        <f t="shared" si="19"/>
        <v>0</v>
      </c>
      <c r="AF18">
        <f t="shared" si="25"/>
        <v>0</v>
      </c>
      <c r="AG18" s="29">
        <f t="shared" si="20"/>
        <v>0</v>
      </c>
      <c r="AH18" s="21">
        <f t="shared" si="21"/>
        <v>0</v>
      </c>
      <c r="AI18" s="47">
        <f t="shared" si="9"/>
        <v>0</v>
      </c>
      <c r="AM18">
        <f t="shared" si="22"/>
        <v>0</v>
      </c>
      <c r="AN18">
        <f t="shared" si="23"/>
        <v>0</v>
      </c>
      <c r="AP18" s="80">
        <f>MIN(I18,I19)*J18</f>
        <v>0</v>
      </c>
    </row>
    <row r="19" spans="1:42" x14ac:dyDescent="0.3">
      <c r="A19" s="10">
        <f t="shared" si="24"/>
        <v>8</v>
      </c>
      <c r="B19" s="3">
        <f>Расчет!B12/COS(RADIANS(K19))</f>
        <v>0</v>
      </c>
      <c r="C19" s="3">
        <f>Расчет!C12</f>
        <v>0</v>
      </c>
      <c r="D19" s="6">
        <f>Расчет!D12</f>
        <v>0</v>
      </c>
      <c r="E19" s="9">
        <f>Расчет!E12</f>
        <v>1</v>
      </c>
      <c r="F19" s="85" t="s">
        <v>14</v>
      </c>
      <c r="G19" s="85"/>
      <c r="H19" s="86"/>
      <c r="I19" s="4">
        <f>Расчет!I12</f>
        <v>0</v>
      </c>
      <c r="J19" s="58"/>
      <c r="K19" s="27">
        <f>IF(Расчет!$B$55=1,D19,ATAN(0.01*D19)*180/3.14159265359)</f>
        <v>0</v>
      </c>
      <c r="L19" s="27">
        <f t="shared" si="0"/>
        <v>0</v>
      </c>
      <c r="M19" s="39">
        <f t="shared" si="10"/>
        <v>0</v>
      </c>
      <c r="N19" s="31">
        <f t="shared" si="11"/>
        <v>-3</v>
      </c>
      <c r="O19" s="31">
        <f t="shared" si="1"/>
        <v>-6</v>
      </c>
      <c r="P19" s="31">
        <f t="shared" si="2"/>
        <v>-9</v>
      </c>
      <c r="Q19" s="31">
        <f t="shared" si="3"/>
        <v>-12</v>
      </c>
      <c r="R19" s="31">
        <f t="shared" si="4"/>
        <v>-15</v>
      </c>
      <c r="S19" s="31">
        <f t="shared" si="12"/>
        <v>-18</v>
      </c>
      <c r="T19" s="31">
        <f t="shared" si="13"/>
        <v>-21</v>
      </c>
      <c r="U19" s="31" cm="1">
        <f t="array" ref="U19">_xlfn._xlws.FILTER(M19:T19, (M19:T19 &gt;= 0) * (M19:T19 &lt; $C$6), "Нет чисел")</f>
        <v>0</v>
      </c>
      <c r="V19" s="40">
        <f t="shared" si="14"/>
        <v>1</v>
      </c>
      <c r="W19" s="21">
        <f t="shared" si="5"/>
        <v>1</v>
      </c>
      <c r="X19" s="31">
        <f t="shared" si="6"/>
        <v>0</v>
      </c>
      <c r="Y19" s="40">
        <f t="shared" si="15"/>
        <v>0</v>
      </c>
      <c r="Z19" s="21">
        <f t="shared" si="7"/>
        <v>1</v>
      </c>
      <c r="AA19" s="21">
        <f t="shared" si="16"/>
        <v>0</v>
      </c>
      <c r="AB19" s="40">
        <f t="shared" si="17"/>
        <v>0</v>
      </c>
      <c r="AC19">
        <f t="shared" si="8"/>
        <v>1</v>
      </c>
      <c r="AD19" s="37">
        <f t="shared" si="18"/>
        <v>1</v>
      </c>
      <c r="AE19" s="25">
        <f>L19*M19*E19*AD19</f>
        <v>0</v>
      </c>
      <c r="AF19">
        <f t="shared" si="25"/>
        <v>0</v>
      </c>
      <c r="AG19" s="29">
        <f t="shared" si="20"/>
        <v>0</v>
      </c>
      <c r="AH19" s="21">
        <f t="shared" si="21"/>
        <v>0</v>
      </c>
      <c r="AI19" s="47">
        <f t="shared" si="9"/>
        <v>0</v>
      </c>
      <c r="AM19">
        <f t="shared" si="22"/>
        <v>0</v>
      </c>
      <c r="AN19">
        <f t="shared" si="23"/>
        <v>0</v>
      </c>
      <c r="AP19" s="80"/>
    </row>
    <row r="20" spans="1:42" x14ac:dyDescent="0.3">
      <c r="A20" s="10">
        <f t="shared" si="24"/>
        <v>9</v>
      </c>
      <c r="B20" s="3">
        <f>Расчет!B13/COS(RADIANS(K20))</f>
        <v>0</v>
      </c>
      <c r="C20" s="3">
        <f>Расчет!C13</f>
        <v>0</v>
      </c>
      <c r="D20" s="6">
        <f>Расчет!D13</f>
        <v>0</v>
      </c>
      <c r="E20" s="9">
        <f>Расчет!E13</f>
        <v>1</v>
      </c>
      <c r="F20" s="78" t="s">
        <v>15</v>
      </c>
      <c r="G20" s="78"/>
      <c r="H20" s="79"/>
      <c r="I20" s="4">
        <f>Расчет!I13</f>
        <v>0</v>
      </c>
      <c r="J20" s="57">
        <f>Расчет!J13</f>
        <v>1</v>
      </c>
      <c r="K20" s="27">
        <f>IF(Расчет!$B$55=1,D20,ATAN(0.01*D20)*180/3.14159265359)</f>
        <v>0</v>
      </c>
      <c r="L20" s="27">
        <f t="shared" si="0"/>
        <v>0</v>
      </c>
      <c r="M20" s="39">
        <f t="shared" si="10"/>
        <v>0</v>
      </c>
      <c r="N20" s="31">
        <f t="shared" si="11"/>
        <v>-3</v>
      </c>
      <c r="O20" s="31">
        <f t="shared" si="1"/>
        <v>-6</v>
      </c>
      <c r="P20" s="31">
        <f t="shared" si="2"/>
        <v>-9</v>
      </c>
      <c r="Q20" s="31">
        <f t="shared" si="3"/>
        <v>-12</v>
      </c>
      <c r="R20" s="31">
        <f t="shared" si="4"/>
        <v>-15</v>
      </c>
      <c r="S20" s="31">
        <f t="shared" si="12"/>
        <v>-18</v>
      </c>
      <c r="T20" s="31">
        <f t="shared" si="13"/>
        <v>-21</v>
      </c>
      <c r="U20" s="31" cm="1">
        <f t="array" ref="U20">_xlfn._xlws.FILTER(M20:T20, (M20:T20 &gt;= 0) * (M20:T20 &lt; $C$6), "Нет чисел")</f>
        <v>0</v>
      </c>
      <c r="V20" s="40">
        <f t="shared" si="14"/>
        <v>1</v>
      </c>
      <c r="W20" s="21">
        <f t="shared" si="5"/>
        <v>1</v>
      </c>
      <c r="X20" s="31">
        <f t="shared" si="6"/>
        <v>0</v>
      </c>
      <c r="Y20" s="40">
        <f t="shared" si="15"/>
        <v>0</v>
      </c>
      <c r="Z20" s="21">
        <f t="shared" si="7"/>
        <v>1</v>
      </c>
      <c r="AA20" s="21">
        <f t="shared" si="16"/>
        <v>0</v>
      </c>
      <c r="AB20" s="40">
        <f t="shared" si="17"/>
        <v>0</v>
      </c>
      <c r="AC20">
        <f t="shared" si="8"/>
        <v>1</v>
      </c>
      <c r="AD20" s="37">
        <f t="shared" si="18"/>
        <v>1</v>
      </c>
      <c r="AE20" s="25">
        <f t="shared" si="19"/>
        <v>0</v>
      </c>
      <c r="AF20">
        <f t="shared" si="25"/>
        <v>0</v>
      </c>
      <c r="AG20" s="29">
        <f t="shared" si="20"/>
        <v>0</v>
      </c>
      <c r="AH20" s="21">
        <f t="shared" si="21"/>
        <v>0</v>
      </c>
      <c r="AI20" s="47">
        <f t="shared" si="9"/>
        <v>0</v>
      </c>
      <c r="AM20">
        <f t="shared" si="22"/>
        <v>0</v>
      </c>
      <c r="AN20">
        <f t="shared" si="23"/>
        <v>0</v>
      </c>
      <c r="AP20" s="80">
        <f>MIN(I20,I21)*J20</f>
        <v>0</v>
      </c>
    </row>
    <row r="21" spans="1:42" ht="18.600000000000001" customHeight="1" x14ac:dyDescent="0.3">
      <c r="A21" s="10">
        <f t="shared" si="24"/>
        <v>10</v>
      </c>
      <c r="B21" s="3">
        <f>Расчет!B14/COS(RADIANS(K21))</f>
        <v>0</v>
      </c>
      <c r="C21" s="3">
        <f>Расчет!C14</f>
        <v>0</v>
      </c>
      <c r="D21" s="6">
        <f>Расчет!D14</f>
        <v>0</v>
      </c>
      <c r="E21" s="9">
        <f>Расчет!E14</f>
        <v>1</v>
      </c>
      <c r="F21" s="81" t="s">
        <v>16</v>
      </c>
      <c r="G21" s="81"/>
      <c r="H21" s="82"/>
      <c r="I21" s="4">
        <f>Расчет!I14</f>
        <v>0</v>
      </c>
      <c r="J21" s="58"/>
      <c r="K21" s="27">
        <f>IF(Расчет!$B$55=1,D21,ATAN(0.01*D21)*180/3.14159265359)</f>
        <v>0</v>
      </c>
      <c r="L21" s="27">
        <f t="shared" si="0"/>
        <v>0</v>
      </c>
      <c r="M21" s="39">
        <f t="shared" si="10"/>
        <v>0</v>
      </c>
      <c r="N21" s="31">
        <f t="shared" si="11"/>
        <v>-3</v>
      </c>
      <c r="O21" s="31">
        <f t="shared" si="1"/>
        <v>-6</v>
      </c>
      <c r="P21" s="31">
        <f t="shared" si="2"/>
        <v>-9</v>
      </c>
      <c r="Q21" s="31">
        <f t="shared" si="3"/>
        <v>-12</v>
      </c>
      <c r="R21" s="31">
        <f t="shared" si="4"/>
        <v>-15</v>
      </c>
      <c r="S21" s="31">
        <f t="shared" si="12"/>
        <v>-18</v>
      </c>
      <c r="T21" s="31">
        <f t="shared" si="13"/>
        <v>-21</v>
      </c>
      <c r="U21" s="31" cm="1">
        <f t="array" ref="U21">_xlfn._xlws.FILTER(M21:T21, (M21:T21 &gt;= 0) * (M21:T21 &lt; $C$6), "Нет чисел")</f>
        <v>0</v>
      </c>
      <c r="V21" s="40">
        <f t="shared" si="14"/>
        <v>1</v>
      </c>
      <c r="W21" s="21">
        <f t="shared" si="5"/>
        <v>1</v>
      </c>
      <c r="X21" s="31">
        <f t="shared" si="6"/>
        <v>0</v>
      </c>
      <c r="Y21" s="40">
        <f t="shared" si="15"/>
        <v>0</v>
      </c>
      <c r="Z21" s="21">
        <f t="shared" si="7"/>
        <v>1</v>
      </c>
      <c r="AA21" s="21">
        <f t="shared" si="16"/>
        <v>0</v>
      </c>
      <c r="AB21" s="40">
        <f t="shared" si="17"/>
        <v>0</v>
      </c>
      <c r="AC21">
        <f t="shared" si="8"/>
        <v>1</v>
      </c>
      <c r="AD21" s="37">
        <f t="shared" si="18"/>
        <v>1</v>
      </c>
      <c r="AE21" s="25">
        <f t="shared" si="19"/>
        <v>0</v>
      </c>
      <c r="AF21">
        <f t="shared" si="25"/>
        <v>0</v>
      </c>
      <c r="AG21" s="29">
        <f t="shared" si="20"/>
        <v>0</v>
      </c>
      <c r="AH21" s="21">
        <f t="shared" si="21"/>
        <v>0</v>
      </c>
      <c r="AI21" s="47">
        <f t="shared" si="9"/>
        <v>0</v>
      </c>
      <c r="AM21">
        <f t="shared" si="22"/>
        <v>0</v>
      </c>
      <c r="AN21">
        <f t="shared" si="23"/>
        <v>0</v>
      </c>
      <c r="AP21" s="80"/>
    </row>
    <row r="22" spans="1:42" ht="18.600000000000001" customHeight="1" x14ac:dyDescent="0.3">
      <c r="A22" s="10">
        <f t="shared" si="24"/>
        <v>11</v>
      </c>
      <c r="B22" s="3">
        <f>Расчет!B15/COS(RADIANS(K22))</f>
        <v>0</v>
      </c>
      <c r="C22" s="3">
        <f>Расчет!C15</f>
        <v>0</v>
      </c>
      <c r="D22" s="6">
        <f>Расчет!D15</f>
        <v>0</v>
      </c>
      <c r="E22" s="9">
        <f>Расчет!E15</f>
        <v>1</v>
      </c>
      <c r="F22" s="83" t="s">
        <v>17</v>
      </c>
      <c r="G22" s="83"/>
      <c r="H22" s="84"/>
      <c r="I22" s="4">
        <f>Расчет!I15</f>
        <v>0</v>
      </c>
      <c r="J22" s="57">
        <f>Расчет!J15</f>
        <v>1</v>
      </c>
      <c r="K22" s="27">
        <f>IF(Расчет!$B$55=1,D22,ATAN(0.01*D22)*180/3.14159265359)</f>
        <v>0</v>
      </c>
      <c r="L22" s="27">
        <f t="shared" si="0"/>
        <v>0</v>
      </c>
      <c r="M22" s="39">
        <f t="shared" si="10"/>
        <v>0</v>
      </c>
      <c r="N22" s="31">
        <f t="shared" si="11"/>
        <v>-3</v>
      </c>
      <c r="O22" s="31">
        <f t="shared" si="1"/>
        <v>-6</v>
      </c>
      <c r="P22" s="31">
        <f t="shared" si="2"/>
        <v>-9</v>
      </c>
      <c r="Q22" s="31">
        <f t="shared" si="3"/>
        <v>-12</v>
      </c>
      <c r="R22" s="31">
        <f t="shared" si="4"/>
        <v>-15</v>
      </c>
      <c r="S22" s="31">
        <f t="shared" si="12"/>
        <v>-18</v>
      </c>
      <c r="T22" s="31">
        <f t="shared" si="13"/>
        <v>-21</v>
      </c>
      <c r="U22" s="31" cm="1">
        <f t="array" ref="U22">_xlfn._xlws.FILTER(M22:T22, (M22:T22 &gt;= 0) * (M22:T22 &lt; $C$6), "Нет чисел")</f>
        <v>0</v>
      </c>
      <c r="V22" s="40">
        <f t="shared" si="14"/>
        <v>1</v>
      </c>
      <c r="W22" s="21">
        <f t="shared" si="5"/>
        <v>1</v>
      </c>
      <c r="X22" s="31">
        <f t="shared" si="6"/>
        <v>0</v>
      </c>
      <c r="Y22" s="40">
        <f t="shared" si="15"/>
        <v>0</v>
      </c>
      <c r="Z22" s="21">
        <f t="shared" si="7"/>
        <v>1</v>
      </c>
      <c r="AA22" s="21">
        <f t="shared" si="16"/>
        <v>0</v>
      </c>
      <c r="AB22" s="40">
        <f t="shared" si="17"/>
        <v>0</v>
      </c>
      <c r="AC22">
        <f t="shared" si="8"/>
        <v>1</v>
      </c>
      <c r="AD22" s="37">
        <f t="shared" si="18"/>
        <v>1</v>
      </c>
      <c r="AE22" s="25">
        <f t="shared" si="19"/>
        <v>0</v>
      </c>
      <c r="AF22">
        <f t="shared" si="25"/>
        <v>0</v>
      </c>
      <c r="AG22" s="29">
        <f t="shared" si="20"/>
        <v>0</v>
      </c>
      <c r="AH22" s="21">
        <f t="shared" si="21"/>
        <v>0</v>
      </c>
      <c r="AI22" s="47">
        <f t="shared" si="9"/>
        <v>0</v>
      </c>
      <c r="AM22">
        <f t="shared" si="22"/>
        <v>0</v>
      </c>
      <c r="AN22">
        <f t="shared" si="23"/>
        <v>0</v>
      </c>
      <c r="AP22" s="80">
        <f>MIN(I22,I23)*J22</f>
        <v>0</v>
      </c>
    </row>
    <row r="23" spans="1:42" x14ac:dyDescent="0.3">
      <c r="A23" s="10">
        <f t="shared" si="24"/>
        <v>12</v>
      </c>
      <c r="B23" s="3">
        <f>Расчет!B16/COS(RADIANS(K23))</f>
        <v>0</v>
      </c>
      <c r="C23" s="3">
        <f>Расчет!C16</f>
        <v>0</v>
      </c>
      <c r="D23" s="6">
        <f>Расчет!D16</f>
        <v>0</v>
      </c>
      <c r="E23" s="9">
        <f>Расчет!E16</f>
        <v>1</v>
      </c>
      <c r="F23" s="85" t="s">
        <v>18</v>
      </c>
      <c r="G23" s="85"/>
      <c r="H23" s="86"/>
      <c r="I23" s="4">
        <f>Расчет!I16</f>
        <v>0</v>
      </c>
      <c r="J23" s="58"/>
      <c r="K23" s="27">
        <f>IF(Расчет!$B$55=1,D23,ATAN(0.01*D23)*180/3.14159265359)</f>
        <v>0</v>
      </c>
      <c r="L23" s="27">
        <f t="shared" si="0"/>
        <v>0</v>
      </c>
      <c r="M23" s="39">
        <f t="shared" si="10"/>
        <v>0</v>
      </c>
      <c r="N23" s="31">
        <f t="shared" si="11"/>
        <v>-3</v>
      </c>
      <c r="O23" s="31">
        <f t="shared" si="1"/>
        <v>-6</v>
      </c>
      <c r="P23" s="31">
        <f t="shared" si="2"/>
        <v>-9</v>
      </c>
      <c r="Q23" s="31">
        <f t="shared" si="3"/>
        <v>-12</v>
      </c>
      <c r="R23" s="31">
        <f t="shared" si="4"/>
        <v>-15</v>
      </c>
      <c r="S23" s="31">
        <f t="shared" si="12"/>
        <v>-18</v>
      </c>
      <c r="T23" s="31">
        <f t="shared" si="13"/>
        <v>-21</v>
      </c>
      <c r="U23" s="31" cm="1">
        <f t="array" ref="U23">_xlfn._xlws.FILTER(M23:T23, (M23:T23 &gt;= 0) * (M23:T23 &lt; $C$6), "Нет чисел")</f>
        <v>0</v>
      </c>
      <c r="V23" s="40">
        <f t="shared" si="14"/>
        <v>1</v>
      </c>
      <c r="W23" s="21">
        <f t="shared" si="5"/>
        <v>1</v>
      </c>
      <c r="X23" s="31">
        <f t="shared" si="6"/>
        <v>0</v>
      </c>
      <c r="Y23" s="40">
        <f t="shared" si="15"/>
        <v>0</v>
      </c>
      <c r="Z23" s="21">
        <f t="shared" si="7"/>
        <v>1</v>
      </c>
      <c r="AA23" s="21">
        <f t="shared" si="16"/>
        <v>0</v>
      </c>
      <c r="AB23" s="40">
        <f t="shared" si="17"/>
        <v>0</v>
      </c>
      <c r="AC23">
        <f t="shared" si="8"/>
        <v>1</v>
      </c>
      <c r="AD23" s="37">
        <f t="shared" si="18"/>
        <v>1</v>
      </c>
      <c r="AE23" s="25">
        <f t="shared" si="19"/>
        <v>0</v>
      </c>
      <c r="AF23">
        <f t="shared" si="25"/>
        <v>0</v>
      </c>
      <c r="AG23" s="29">
        <f t="shared" si="20"/>
        <v>0</v>
      </c>
      <c r="AH23" s="21">
        <f t="shared" si="21"/>
        <v>0</v>
      </c>
      <c r="AI23" s="47">
        <f t="shared" si="9"/>
        <v>0</v>
      </c>
      <c r="AM23">
        <f t="shared" si="22"/>
        <v>0</v>
      </c>
      <c r="AN23">
        <f t="shared" si="23"/>
        <v>0</v>
      </c>
      <c r="AP23" s="80"/>
    </row>
    <row r="24" spans="1:42" x14ac:dyDescent="0.3">
      <c r="A24" s="10">
        <f t="shared" si="24"/>
        <v>13</v>
      </c>
      <c r="B24" s="3">
        <f>Расчет!B17/COS(RADIANS(K24))</f>
        <v>0</v>
      </c>
      <c r="C24" s="3">
        <f>Расчет!C17</f>
        <v>0</v>
      </c>
      <c r="D24" s="6">
        <f>Расчет!D17</f>
        <v>0</v>
      </c>
      <c r="E24" s="9">
        <f>Расчет!E17</f>
        <v>1</v>
      </c>
      <c r="F24" s="78" t="s">
        <v>19</v>
      </c>
      <c r="G24" s="78"/>
      <c r="H24" s="79"/>
      <c r="I24" s="4">
        <f>Расчет!I17</f>
        <v>0</v>
      </c>
      <c r="J24" s="57">
        <f>Расчет!J17</f>
        <v>1</v>
      </c>
      <c r="K24" s="27">
        <f>IF(Расчет!$B$55=1,D24,ATAN(0.01*D24)*180/3.14159265359)</f>
        <v>0</v>
      </c>
      <c r="L24" s="27">
        <f t="shared" si="0"/>
        <v>0</v>
      </c>
      <c r="M24" s="39">
        <f t="shared" si="10"/>
        <v>0</v>
      </c>
      <c r="N24" s="31">
        <f t="shared" si="11"/>
        <v>-3</v>
      </c>
      <c r="O24" s="31">
        <f t="shared" si="1"/>
        <v>-6</v>
      </c>
      <c r="P24" s="31">
        <f t="shared" si="2"/>
        <v>-9</v>
      </c>
      <c r="Q24" s="31">
        <f t="shared" si="3"/>
        <v>-12</v>
      </c>
      <c r="R24" s="31">
        <f t="shared" si="4"/>
        <v>-15</v>
      </c>
      <c r="S24" s="31">
        <f t="shared" si="12"/>
        <v>-18</v>
      </c>
      <c r="T24" s="31">
        <f t="shared" si="13"/>
        <v>-21</v>
      </c>
      <c r="U24" s="41" cm="1">
        <f t="array" ref="U24">_xlfn._xlws.FILTER(M24:T24, (M24:T24 &gt;= 0) * (M24:T24 &lt; $C$6), "Нет чисел")</f>
        <v>0</v>
      </c>
      <c r="V24" s="40">
        <f t="shared" si="14"/>
        <v>1</v>
      </c>
      <c r="W24" s="21">
        <f t="shared" si="5"/>
        <v>1</v>
      </c>
      <c r="X24" s="41">
        <f t="shared" si="6"/>
        <v>0</v>
      </c>
      <c r="Y24" s="40">
        <f t="shared" si="15"/>
        <v>0</v>
      </c>
      <c r="Z24" s="21">
        <f t="shared" si="7"/>
        <v>1</v>
      </c>
      <c r="AA24" s="21">
        <f t="shared" si="16"/>
        <v>0</v>
      </c>
      <c r="AB24" s="40">
        <f t="shared" si="17"/>
        <v>0</v>
      </c>
      <c r="AC24">
        <f t="shared" si="8"/>
        <v>1</v>
      </c>
      <c r="AD24" s="37">
        <f t="shared" si="18"/>
        <v>1</v>
      </c>
      <c r="AE24" s="25">
        <f t="shared" si="19"/>
        <v>0</v>
      </c>
      <c r="AF24">
        <f t="shared" si="25"/>
        <v>0</v>
      </c>
      <c r="AG24" s="29">
        <f t="shared" si="20"/>
        <v>0</v>
      </c>
      <c r="AH24" s="21">
        <f t="shared" si="21"/>
        <v>0</v>
      </c>
      <c r="AI24" s="47">
        <f t="shared" si="9"/>
        <v>0</v>
      </c>
      <c r="AM24">
        <f t="shared" si="22"/>
        <v>0</v>
      </c>
      <c r="AN24">
        <f t="shared" si="23"/>
        <v>0</v>
      </c>
      <c r="AP24" s="80">
        <f>MIN(I24,I25)*J24</f>
        <v>0</v>
      </c>
    </row>
    <row r="25" spans="1:42" x14ac:dyDescent="0.3">
      <c r="A25" s="10">
        <f t="shared" si="24"/>
        <v>14</v>
      </c>
      <c r="B25" s="3">
        <f>Расчет!B18/COS(RADIANS(K25))</f>
        <v>0</v>
      </c>
      <c r="C25" s="3">
        <f>Расчет!C18</f>
        <v>0</v>
      </c>
      <c r="D25" s="6">
        <f>Расчет!D18</f>
        <v>0</v>
      </c>
      <c r="E25" s="9">
        <f>Расчет!E18</f>
        <v>1</v>
      </c>
      <c r="F25" s="81" t="s">
        <v>20</v>
      </c>
      <c r="G25" s="81"/>
      <c r="H25" s="82"/>
      <c r="I25" s="4">
        <f>Расчет!I18</f>
        <v>0</v>
      </c>
      <c r="J25" s="58"/>
      <c r="K25" s="27">
        <f>IF(Расчет!$B$55=1,D25,ATAN(0.01*D25)*180/3.14159265359)</f>
        <v>0</v>
      </c>
      <c r="L25" s="27">
        <f t="shared" si="0"/>
        <v>0</v>
      </c>
      <c r="M25" s="39">
        <f t="shared" si="10"/>
        <v>0</v>
      </c>
      <c r="N25" s="31">
        <f t="shared" si="11"/>
        <v>-3</v>
      </c>
      <c r="O25" s="31">
        <f t="shared" si="1"/>
        <v>-6</v>
      </c>
      <c r="P25" s="31">
        <f t="shared" si="2"/>
        <v>-9</v>
      </c>
      <c r="Q25" s="31">
        <f t="shared" si="3"/>
        <v>-12</v>
      </c>
      <c r="R25" s="31">
        <f t="shared" si="4"/>
        <v>-15</v>
      </c>
      <c r="S25" s="31">
        <f t="shared" si="12"/>
        <v>-18</v>
      </c>
      <c r="T25" s="31">
        <f t="shared" si="13"/>
        <v>-21</v>
      </c>
      <c r="U25" s="31" cm="1">
        <f t="array" ref="U25">_xlfn._xlws.FILTER(M25:T25, (M25:T25 &gt;= 0) * (M25:T25 &lt; $C$6), "Нет чисел")</f>
        <v>0</v>
      </c>
      <c r="V25" s="40">
        <f t="shared" si="14"/>
        <v>1</v>
      </c>
      <c r="W25" s="21">
        <f t="shared" si="5"/>
        <v>1</v>
      </c>
      <c r="X25" s="31">
        <f t="shared" si="6"/>
        <v>0</v>
      </c>
      <c r="Y25" s="40">
        <f t="shared" si="15"/>
        <v>0</v>
      </c>
      <c r="Z25" s="21">
        <f t="shared" si="7"/>
        <v>1</v>
      </c>
      <c r="AA25" s="21">
        <f t="shared" si="16"/>
        <v>0</v>
      </c>
      <c r="AB25" s="40">
        <f t="shared" si="17"/>
        <v>0</v>
      </c>
      <c r="AC25">
        <f t="shared" si="8"/>
        <v>1</v>
      </c>
      <c r="AD25" s="37">
        <f t="shared" si="18"/>
        <v>1</v>
      </c>
      <c r="AE25" s="25">
        <f t="shared" si="19"/>
        <v>0</v>
      </c>
      <c r="AF25">
        <f t="shared" si="25"/>
        <v>0</v>
      </c>
      <c r="AG25" s="29">
        <f t="shared" si="20"/>
        <v>0</v>
      </c>
      <c r="AH25" s="21">
        <f t="shared" si="21"/>
        <v>0</v>
      </c>
      <c r="AI25" s="47">
        <f t="shared" si="9"/>
        <v>0</v>
      </c>
      <c r="AM25">
        <f t="shared" si="22"/>
        <v>0</v>
      </c>
      <c r="AN25">
        <f t="shared" si="23"/>
        <v>0</v>
      </c>
      <c r="AP25" s="80"/>
    </row>
    <row r="26" spans="1:42" x14ac:dyDescent="0.3">
      <c r="A26" s="10">
        <f t="shared" si="24"/>
        <v>15</v>
      </c>
      <c r="B26" s="3">
        <f>Расчет!B19/COS(RADIANS(K26))</f>
        <v>0</v>
      </c>
      <c r="C26" s="3">
        <f>Расчет!C19</f>
        <v>0</v>
      </c>
      <c r="D26" s="6">
        <f>Расчет!D19</f>
        <v>0</v>
      </c>
      <c r="E26" s="9">
        <f>Расчет!E19</f>
        <v>1</v>
      </c>
      <c r="F26" s="83" t="s">
        <v>21</v>
      </c>
      <c r="G26" s="83"/>
      <c r="H26" s="84"/>
      <c r="I26" s="4">
        <f>Расчет!I19</f>
        <v>0</v>
      </c>
      <c r="J26" s="57">
        <f>Расчет!J19</f>
        <v>1</v>
      </c>
      <c r="K26" s="27">
        <f>IF(Расчет!$B$55=1,D26,ATAN(0.01*D26)*180/3.14159265359)</f>
        <v>0</v>
      </c>
      <c r="L26" s="27">
        <f t="shared" si="0"/>
        <v>0</v>
      </c>
      <c r="M26" s="39">
        <f t="shared" si="10"/>
        <v>0</v>
      </c>
      <c r="N26" s="31">
        <f t="shared" si="11"/>
        <v>-3</v>
      </c>
      <c r="O26" s="31">
        <f t="shared" si="1"/>
        <v>-6</v>
      </c>
      <c r="P26" s="31">
        <f t="shared" si="2"/>
        <v>-9</v>
      </c>
      <c r="Q26" s="31">
        <f t="shared" si="3"/>
        <v>-12</v>
      </c>
      <c r="R26" s="31">
        <f t="shared" si="4"/>
        <v>-15</v>
      </c>
      <c r="S26" s="31">
        <f t="shared" si="12"/>
        <v>-18</v>
      </c>
      <c r="T26" s="31">
        <f t="shared" si="13"/>
        <v>-21</v>
      </c>
      <c r="U26" s="31" cm="1">
        <f t="array" ref="U26">_xlfn._xlws.FILTER(M26:T26, (M26:T26 &gt;= 0) * (M26:T26 &lt; $C$6), "Нет чисел")</f>
        <v>0</v>
      </c>
      <c r="V26" s="40">
        <f t="shared" si="14"/>
        <v>1</v>
      </c>
      <c r="W26" s="21">
        <f t="shared" si="5"/>
        <v>1</v>
      </c>
      <c r="X26" s="31">
        <f t="shared" si="6"/>
        <v>0</v>
      </c>
      <c r="Y26" s="40">
        <f t="shared" si="15"/>
        <v>0</v>
      </c>
      <c r="Z26" s="21">
        <f t="shared" si="7"/>
        <v>1</v>
      </c>
      <c r="AA26" s="21">
        <f t="shared" si="16"/>
        <v>0</v>
      </c>
      <c r="AB26" s="40">
        <f t="shared" si="17"/>
        <v>0</v>
      </c>
      <c r="AC26">
        <f t="shared" si="8"/>
        <v>1</v>
      </c>
      <c r="AD26" s="37">
        <f t="shared" si="18"/>
        <v>1</v>
      </c>
      <c r="AE26" s="25">
        <f t="shared" si="19"/>
        <v>0</v>
      </c>
      <c r="AF26">
        <f t="shared" si="25"/>
        <v>0</v>
      </c>
      <c r="AG26" s="29">
        <f t="shared" si="20"/>
        <v>0</v>
      </c>
      <c r="AH26" s="21">
        <f t="shared" si="21"/>
        <v>0</v>
      </c>
      <c r="AI26" s="47">
        <f t="shared" si="9"/>
        <v>0</v>
      </c>
      <c r="AM26">
        <f t="shared" si="22"/>
        <v>0</v>
      </c>
      <c r="AN26">
        <f t="shared" si="23"/>
        <v>0</v>
      </c>
      <c r="AP26" s="80">
        <f>MIN(I26,I27)*J26</f>
        <v>0</v>
      </c>
    </row>
    <row r="27" spans="1:42" x14ac:dyDescent="0.3">
      <c r="A27" s="10">
        <f t="shared" si="24"/>
        <v>16</v>
      </c>
      <c r="B27" s="3">
        <f>Расчет!B20/COS(RADIANS(K27))</f>
        <v>0</v>
      </c>
      <c r="C27" s="3">
        <f>Расчет!C20</f>
        <v>0</v>
      </c>
      <c r="D27" s="6">
        <f>Расчет!D20</f>
        <v>0</v>
      </c>
      <c r="E27" s="9">
        <f>Расчет!E20</f>
        <v>1</v>
      </c>
      <c r="F27" s="85" t="s">
        <v>22</v>
      </c>
      <c r="G27" s="85"/>
      <c r="H27" s="86"/>
      <c r="I27" s="4">
        <f>Расчет!I20</f>
        <v>0</v>
      </c>
      <c r="J27" s="58"/>
      <c r="K27" s="27">
        <f>IF(Расчет!$B$55=1,D27,ATAN(0.01*D27)*180/3.14159265359)</f>
        <v>0</v>
      </c>
      <c r="L27" s="27">
        <f t="shared" si="0"/>
        <v>0</v>
      </c>
      <c r="M27" s="39">
        <f t="shared" si="10"/>
        <v>0</v>
      </c>
      <c r="N27" s="31">
        <f t="shared" si="11"/>
        <v>-3</v>
      </c>
      <c r="O27" s="31">
        <f t="shared" si="1"/>
        <v>-6</v>
      </c>
      <c r="P27" s="31">
        <f t="shared" si="2"/>
        <v>-9</v>
      </c>
      <c r="Q27" s="31">
        <f t="shared" si="3"/>
        <v>-12</v>
      </c>
      <c r="R27" s="31">
        <f t="shared" si="4"/>
        <v>-15</v>
      </c>
      <c r="S27" s="31">
        <f t="shared" si="12"/>
        <v>-18</v>
      </c>
      <c r="T27" s="31">
        <f t="shared" si="13"/>
        <v>-21</v>
      </c>
      <c r="U27" s="31" cm="1">
        <f t="array" ref="U27">_xlfn._xlws.FILTER(M27:T27, (M27:T27 &gt;= 0) * (M27:T27 &lt; $C$6), "Нет чисел")</f>
        <v>0</v>
      </c>
      <c r="V27" s="40">
        <f t="shared" si="14"/>
        <v>1</v>
      </c>
      <c r="W27" s="21">
        <f t="shared" si="5"/>
        <v>1</v>
      </c>
      <c r="X27" s="31">
        <f t="shared" si="6"/>
        <v>0</v>
      </c>
      <c r="Y27" s="40">
        <f t="shared" si="15"/>
        <v>0</v>
      </c>
      <c r="Z27" s="21">
        <f t="shared" si="7"/>
        <v>1</v>
      </c>
      <c r="AA27" s="21">
        <f t="shared" si="16"/>
        <v>0</v>
      </c>
      <c r="AB27" s="40">
        <f t="shared" si="17"/>
        <v>0</v>
      </c>
      <c r="AC27">
        <f t="shared" si="8"/>
        <v>1</v>
      </c>
      <c r="AD27" s="37">
        <f t="shared" si="18"/>
        <v>1</v>
      </c>
      <c r="AE27" s="25">
        <f t="shared" si="19"/>
        <v>0</v>
      </c>
      <c r="AF27">
        <f t="shared" si="25"/>
        <v>0</v>
      </c>
      <c r="AG27" s="29">
        <f t="shared" si="20"/>
        <v>0</v>
      </c>
      <c r="AH27" s="21">
        <f t="shared" si="21"/>
        <v>0</v>
      </c>
      <c r="AI27" s="47">
        <f t="shared" si="9"/>
        <v>0</v>
      </c>
      <c r="AM27">
        <f t="shared" si="22"/>
        <v>0</v>
      </c>
      <c r="AN27">
        <f t="shared" si="23"/>
        <v>0</v>
      </c>
      <c r="AP27" s="80"/>
    </row>
    <row r="28" spans="1:42" x14ac:dyDescent="0.3">
      <c r="A28" s="10">
        <f t="shared" si="24"/>
        <v>17</v>
      </c>
      <c r="B28" s="3">
        <f>Расчет!B21/COS(RADIANS(K28))</f>
        <v>0</v>
      </c>
      <c r="C28" s="3">
        <f>Расчет!C21</f>
        <v>0</v>
      </c>
      <c r="D28" s="6">
        <f>Расчет!D21</f>
        <v>0</v>
      </c>
      <c r="E28" s="9">
        <f>Расчет!E21</f>
        <v>1</v>
      </c>
      <c r="F28" s="78" t="s">
        <v>23</v>
      </c>
      <c r="G28" s="78"/>
      <c r="H28" s="79"/>
      <c r="I28" s="4">
        <f>Расчет!I21</f>
        <v>0</v>
      </c>
      <c r="J28" s="57">
        <f>Расчет!J21</f>
        <v>1</v>
      </c>
      <c r="K28" s="27">
        <f>IF(Расчет!$B$55=1,D28,ATAN(0.01*D28)*180/3.14159265359)</f>
        <v>0</v>
      </c>
      <c r="L28" s="27">
        <f t="shared" si="0"/>
        <v>0</v>
      </c>
      <c r="M28" s="39">
        <f t="shared" si="10"/>
        <v>0</v>
      </c>
      <c r="N28" s="31">
        <f t="shared" si="11"/>
        <v>-3</v>
      </c>
      <c r="O28" s="31">
        <f t="shared" si="1"/>
        <v>-6</v>
      </c>
      <c r="P28" s="31">
        <f t="shared" si="2"/>
        <v>-9</v>
      </c>
      <c r="Q28" s="31">
        <f t="shared" si="3"/>
        <v>-12</v>
      </c>
      <c r="R28" s="31">
        <f t="shared" si="4"/>
        <v>-15</v>
      </c>
      <c r="S28" s="31">
        <f t="shared" si="12"/>
        <v>-18</v>
      </c>
      <c r="T28" s="31">
        <f t="shared" si="13"/>
        <v>-21</v>
      </c>
      <c r="U28" s="31" cm="1">
        <f t="array" ref="U28">_xlfn._xlws.FILTER(M28:T28, (M28:T28 &gt;= 0) * (M28:T28 &lt; $C$6), "Нет чисел")</f>
        <v>0</v>
      </c>
      <c r="V28" s="40">
        <f t="shared" si="14"/>
        <v>1</v>
      </c>
      <c r="W28" s="21">
        <f t="shared" si="5"/>
        <v>1</v>
      </c>
      <c r="X28" s="31">
        <f t="shared" si="6"/>
        <v>0</v>
      </c>
      <c r="Y28" s="40">
        <f t="shared" si="15"/>
        <v>0</v>
      </c>
      <c r="Z28" s="21">
        <f t="shared" si="7"/>
        <v>1</v>
      </c>
      <c r="AA28" s="21">
        <f t="shared" si="16"/>
        <v>0</v>
      </c>
      <c r="AB28" s="40">
        <f t="shared" si="17"/>
        <v>0</v>
      </c>
      <c r="AC28">
        <f t="shared" si="8"/>
        <v>1</v>
      </c>
      <c r="AD28" s="37">
        <f t="shared" si="18"/>
        <v>1</v>
      </c>
      <c r="AE28" s="25">
        <f t="shared" si="19"/>
        <v>0</v>
      </c>
      <c r="AF28">
        <f t="shared" si="25"/>
        <v>0</v>
      </c>
      <c r="AG28" s="29">
        <f t="shared" si="20"/>
        <v>0</v>
      </c>
      <c r="AH28" s="21">
        <f t="shared" si="21"/>
        <v>0</v>
      </c>
      <c r="AI28" s="47">
        <f t="shared" si="9"/>
        <v>0</v>
      </c>
      <c r="AM28">
        <f t="shared" si="22"/>
        <v>0</v>
      </c>
      <c r="AN28">
        <f t="shared" si="23"/>
        <v>0</v>
      </c>
      <c r="AP28" s="80">
        <f>MIN(I28,I29)*J28</f>
        <v>0</v>
      </c>
    </row>
    <row r="29" spans="1:42" x14ac:dyDescent="0.3">
      <c r="A29" s="10">
        <f t="shared" si="24"/>
        <v>18</v>
      </c>
      <c r="B29" s="3">
        <f>Расчет!B22/COS(RADIANS(K29))</f>
        <v>0</v>
      </c>
      <c r="C29" s="3">
        <f>Расчет!C22</f>
        <v>0</v>
      </c>
      <c r="D29" s="6">
        <f>Расчет!D22</f>
        <v>0</v>
      </c>
      <c r="E29" s="9">
        <f>Расчет!E22</f>
        <v>1</v>
      </c>
      <c r="F29" s="81" t="s">
        <v>24</v>
      </c>
      <c r="G29" s="81"/>
      <c r="H29" s="82"/>
      <c r="I29" s="4">
        <f>Расчет!I22</f>
        <v>0</v>
      </c>
      <c r="J29" s="58"/>
      <c r="K29" s="27">
        <f>IF(Расчет!$B$55=1,D29,ATAN(0.01*D29)*180/3.14159265359)</f>
        <v>0</v>
      </c>
      <c r="L29" s="27">
        <f t="shared" si="0"/>
        <v>0</v>
      </c>
      <c r="M29" s="39">
        <f t="shared" si="10"/>
        <v>0</v>
      </c>
      <c r="N29" s="31">
        <f t="shared" si="11"/>
        <v>-3</v>
      </c>
      <c r="O29" s="31">
        <f t="shared" si="1"/>
        <v>-6</v>
      </c>
      <c r="P29" s="31">
        <f t="shared" si="2"/>
        <v>-9</v>
      </c>
      <c r="Q29" s="31">
        <f t="shared" si="3"/>
        <v>-12</v>
      </c>
      <c r="R29" s="31">
        <f t="shared" si="4"/>
        <v>-15</v>
      </c>
      <c r="S29" s="31">
        <f t="shared" si="12"/>
        <v>-18</v>
      </c>
      <c r="T29" s="31">
        <f t="shared" si="13"/>
        <v>-21</v>
      </c>
      <c r="U29" s="41" cm="1">
        <f t="array" ref="U29">_xlfn._xlws.FILTER(M29:T29, (M29:T29 &gt;= 0) * (M29:T29 &lt; $C$6), "Нет чисел")</f>
        <v>0</v>
      </c>
      <c r="V29" s="21">
        <f t="shared" si="14"/>
        <v>1</v>
      </c>
      <c r="W29" s="21">
        <f t="shared" si="5"/>
        <v>1</v>
      </c>
      <c r="X29" s="41">
        <f t="shared" si="6"/>
        <v>0</v>
      </c>
      <c r="Y29" s="40">
        <f t="shared" si="15"/>
        <v>0</v>
      </c>
      <c r="Z29" s="21">
        <f t="shared" si="7"/>
        <v>1</v>
      </c>
      <c r="AA29" s="21">
        <f t="shared" si="16"/>
        <v>0</v>
      </c>
      <c r="AB29" s="40">
        <f t="shared" si="17"/>
        <v>0</v>
      </c>
      <c r="AC29">
        <f t="shared" si="8"/>
        <v>1</v>
      </c>
      <c r="AD29" s="37">
        <f t="shared" si="18"/>
        <v>1</v>
      </c>
      <c r="AE29" s="25">
        <f t="shared" si="19"/>
        <v>0</v>
      </c>
      <c r="AF29">
        <f t="shared" si="25"/>
        <v>0</v>
      </c>
      <c r="AG29" s="29">
        <f t="shared" si="20"/>
        <v>0</v>
      </c>
      <c r="AH29" s="21">
        <f t="shared" si="21"/>
        <v>0</v>
      </c>
      <c r="AI29" s="47">
        <f t="shared" si="9"/>
        <v>0</v>
      </c>
      <c r="AM29">
        <f t="shared" si="22"/>
        <v>0</v>
      </c>
      <c r="AN29">
        <f t="shared" si="23"/>
        <v>0</v>
      </c>
      <c r="AP29" s="80"/>
    </row>
    <row r="30" spans="1:42" x14ac:dyDescent="0.3">
      <c r="A30" s="10">
        <f t="shared" si="24"/>
        <v>19</v>
      </c>
      <c r="B30" s="3">
        <f>Расчет!B23/COS(RADIANS(K30))</f>
        <v>0</v>
      </c>
      <c r="C30" s="3">
        <f>Расчет!C23</f>
        <v>0</v>
      </c>
      <c r="D30" s="6">
        <f>Расчет!D23</f>
        <v>0</v>
      </c>
      <c r="E30" s="9">
        <f>Расчет!E23</f>
        <v>1</v>
      </c>
      <c r="F30" s="83" t="s">
        <v>25</v>
      </c>
      <c r="G30" s="83"/>
      <c r="H30" s="84"/>
      <c r="I30" s="4">
        <f>Расчет!I23</f>
        <v>0</v>
      </c>
      <c r="J30" s="57">
        <f>Расчет!J23</f>
        <v>1</v>
      </c>
      <c r="K30" s="27">
        <f>IF(Расчет!$B$55=1,D30,ATAN(0.01*D30)*180/3.14159265359)</f>
        <v>0</v>
      </c>
      <c r="L30" s="27">
        <f t="shared" si="0"/>
        <v>0</v>
      </c>
      <c r="M30" s="39">
        <f t="shared" si="10"/>
        <v>0</v>
      </c>
      <c r="N30" s="31">
        <f t="shared" si="11"/>
        <v>-3</v>
      </c>
      <c r="O30" s="31">
        <f t="shared" si="1"/>
        <v>-6</v>
      </c>
      <c r="P30" s="31">
        <f t="shared" si="2"/>
        <v>-9</v>
      </c>
      <c r="Q30" s="31">
        <f t="shared" si="3"/>
        <v>-12</v>
      </c>
      <c r="R30" s="31">
        <f t="shared" si="4"/>
        <v>-15</v>
      </c>
      <c r="S30" s="31">
        <f t="shared" si="12"/>
        <v>-18</v>
      </c>
      <c r="T30" s="31">
        <f t="shared" si="13"/>
        <v>-21</v>
      </c>
      <c r="U30" s="41" cm="1">
        <f t="array" ref="U30">_xlfn._xlws.FILTER(M30:T30, (M30:T30 &gt;= 0) * (M30:T30 &lt; $C$6), "Нет чисел")</f>
        <v>0</v>
      </c>
      <c r="V30" s="21">
        <f t="shared" si="14"/>
        <v>1</v>
      </c>
      <c r="W30" s="21">
        <f t="shared" si="5"/>
        <v>1</v>
      </c>
      <c r="X30" s="41">
        <f t="shared" si="6"/>
        <v>0</v>
      </c>
      <c r="Y30" s="40">
        <f t="shared" si="15"/>
        <v>0</v>
      </c>
      <c r="Z30" s="21">
        <f t="shared" si="7"/>
        <v>1</v>
      </c>
      <c r="AA30" s="21">
        <f t="shared" si="16"/>
        <v>0</v>
      </c>
      <c r="AB30" s="40">
        <f t="shared" si="17"/>
        <v>0</v>
      </c>
      <c r="AC30">
        <f t="shared" si="8"/>
        <v>1</v>
      </c>
      <c r="AD30" s="37">
        <f t="shared" si="18"/>
        <v>1</v>
      </c>
      <c r="AE30" s="25">
        <f t="shared" si="19"/>
        <v>0</v>
      </c>
      <c r="AF30">
        <f t="shared" si="25"/>
        <v>0</v>
      </c>
      <c r="AG30" s="29">
        <f t="shared" si="20"/>
        <v>0</v>
      </c>
      <c r="AH30" s="21">
        <f t="shared" si="21"/>
        <v>0</v>
      </c>
      <c r="AI30" s="47">
        <f t="shared" si="9"/>
        <v>0</v>
      </c>
      <c r="AM30">
        <f t="shared" si="22"/>
        <v>0</v>
      </c>
      <c r="AN30">
        <f t="shared" si="23"/>
        <v>0</v>
      </c>
      <c r="AP30" s="80">
        <f>MIN(I30,I31)*J30</f>
        <v>0</v>
      </c>
    </row>
    <row r="31" spans="1:42" x14ac:dyDescent="0.3">
      <c r="A31" s="10">
        <f t="shared" si="24"/>
        <v>20</v>
      </c>
      <c r="B31" s="3">
        <f>Расчет!B24/COS(RADIANS(K31))</f>
        <v>0</v>
      </c>
      <c r="C31" s="3">
        <f>Расчет!C24</f>
        <v>0</v>
      </c>
      <c r="D31" s="6">
        <f>Расчет!D24</f>
        <v>0</v>
      </c>
      <c r="E31" s="9">
        <f>Расчет!E24</f>
        <v>1</v>
      </c>
      <c r="F31" s="85" t="s">
        <v>26</v>
      </c>
      <c r="G31" s="85"/>
      <c r="H31" s="86"/>
      <c r="I31" s="4">
        <f>Расчет!I24</f>
        <v>0</v>
      </c>
      <c r="J31" s="58"/>
      <c r="K31" s="27">
        <f>IF(Расчет!$B$55=1,D31,ATAN(0.01*D31)*180/3.14159265359)</f>
        <v>0</v>
      </c>
      <c r="L31" s="27">
        <f t="shared" si="0"/>
        <v>0</v>
      </c>
      <c r="M31" s="39">
        <f t="shared" si="10"/>
        <v>0</v>
      </c>
      <c r="N31" s="31">
        <f t="shared" si="11"/>
        <v>-3</v>
      </c>
      <c r="O31" s="31">
        <f t="shared" si="1"/>
        <v>-6</v>
      </c>
      <c r="P31" s="31">
        <f t="shared" si="2"/>
        <v>-9</v>
      </c>
      <c r="Q31" s="31">
        <f t="shared" si="3"/>
        <v>-12</v>
      </c>
      <c r="R31" s="31">
        <f t="shared" si="4"/>
        <v>-15</v>
      </c>
      <c r="S31" s="31">
        <f t="shared" si="12"/>
        <v>-18</v>
      </c>
      <c r="T31" s="31">
        <f t="shared" si="13"/>
        <v>-21</v>
      </c>
      <c r="U31" s="41" cm="1">
        <f t="array" ref="U31">_xlfn._xlws.FILTER(M31:T31, (M31:T31 &gt;= 0) * (M31:T31 &lt; $C$6), "Нет чисел")</f>
        <v>0</v>
      </c>
      <c r="V31" s="21">
        <f t="shared" si="14"/>
        <v>1</v>
      </c>
      <c r="W31" s="21">
        <f t="shared" si="5"/>
        <v>1</v>
      </c>
      <c r="X31" s="41">
        <f t="shared" si="6"/>
        <v>0</v>
      </c>
      <c r="Y31" s="40">
        <f t="shared" si="15"/>
        <v>0</v>
      </c>
      <c r="Z31" s="21">
        <f t="shared" si="7"/>
        <v>1</v>
      </c>
      <c r="AA31" s="21">
        <f t="shared" si="16"/>
        <v>0</v>
      </c>
      <c r="AB31" s="40">
        <f t="shared" si="17"/>
        <v>0</v>
      </c>
      <c r="AC31">
        <f t="shared" si="8"/>
        <v>1</v>
      </c>
      <c r="AD31" s="37">
        <f t="shared" si="18"/>
        <v>1</v>
      </c>
      <c r="AE31" s="25">
        <f t="shared" si="19"/>
        <v>0</v>
      </c>
      <c r="AF31">
        <f t="shared" si="25"/>
        <v>0</v>
      </c>
      <c r="AG31" s="29">
        <f t="shared" si="20"/>
        <v>0</v>
      </c>
      <c r="AH31" s="21">
        <f t="shared" si="21"/>
        <v>0</v>
      </c>
      <c r="AI31" s="47">
        <f t="shared" si="9"/>
        <v>0</v>
      </c>
      <c r="AM31">
        <f t="shared" si="22"/>
        <v>0</v>
      </c>
      <c r="AN31">
        <f t="shared" si="23"/>
        <v>0</v>
      </c>
      <c r="AP31" s="80"/>
    </row>
    <row r="32" spans="1:42" x14ac:dyDescent="0.3">
      <c r="A32" s="10">
        <f t="shared" si="24"/>
        <v>21</v>
      </c>
      <c r="B32" s="3">
        <f>Расчет!B25/COS(RADIANS(K32))</f>
        <v>0</v>
      </c>
      <c r="C32" s="3">
        <f>Расчет!C25</f>
        <v>0</v>
      </c>
      <c r="D32" s="6">
        <f>Расчет!D25</f>
        <v>0</v>
      </c>
      <c r="E32" s="9">
        <f>Расчет!E25</f>
        <v>1</v>
      </c>
      <c r="F32" s="78" t="s">
        <v>27</v>
      </c>
      <c r="G32" s="78"/>
      <c r="H32" s="79"/>
      <c r="I32" s="4">
        <f>Расчет!I25</f>
        <v>0</v>
      </c>
      <c r="J32" s="57">
        <f>Расчет!J25</f>
        <v>1</v>
      </c>
      <c r="K32" s="27">
        <f>IF(Расчет!$B$55=1,D32,ATAN(0.01*D32)*180/3.14159265359)</f>
        <v>0</v>
      </c>
      <c r="L32" s="27">
        <f t="shared" si="0"/>
        <v>0</v>
      </c>
      <c r="M32" s="39">
        <f t="shared" si="10"/>
        <v>0</v>
      </c>
      <c r="N32" s="31">
        <f t="shared" si="11"/>
        <v>-3</v>
      </c>
      <c r="O32" s="31">
        <f t="shared" si="1"/>
        <v>-6</v>
      </c>
      <c r="P32" s="31">
        <f t="shared" si="2"/>
        <v>-9</v>
      </c>
      <c r="Q32" s="31">
        <f t="shared" si="3"/>
        <v>-12</v>
      </c>
      <c r="R32" s="31">
        <f t="shared" si="4"/>
        <v>-15</v>
      </c>
      <c r="S32" s="31">
        <f t="shared" si="12"/>
        <v>-18</v>
      </c>
      <c r="T32" s="31">
        <f t="shared" si="13"/>
        <v>-21</v>
      </c>
      <c r="U32" s="41" cm="1">
        <f t="array" ref="U32">_xlfn._xlws.FILTER(M32:T32, (M32:T32 &gt;= 0) * (M32:T32 &lt; $C$6), "Нет чисел")</f>
        <v>0</v>
      </c>
      <c r="V32" s="40">
        <f t="shared" si="14"/>
        <v>1</v>
      </c>
      <c r="W32" s="21">
        <f t="shared" si="5"/>
        <v>1</v>
      </c>
      <c r="X32" s="41">
        <f t="shared" si="6"/>
        <v>0</v>
      </c>
      <c r="Y32" s="40">
        <f t="shared" si="15"/>
        <v>0</v>
      </c>
      <c r="Z32" s="21">
        <f t="shared" si="7"/>
        <v>1</v>
      </c>
      <c r="AA32" s="21">
        <f t="shared" si="16"/>
        <v>0</v>
      </c>
      <c r="AB32" s="40">
        <f t="shared" si="17"/>
        <v>0</v>
      </c>
      <c r="AC32">
        <f t="shared" si="8"/>
        <v>1</v>
      </c>
      <c r="AD32" s="37">
        <f t="shared" si="18"/>
        <v>1</v>
      </c>
      <c r="AE32" s="25">
        <f t="shared" si="19"/>
        <v>0</v>
      </c>
      <c r="AF32">
        <f t="shared" si="25"/>
        <v>0</v>
      </c>
      <c r="AG32" s="29">
        <f t="shared" si="20"/>
        <v>0</v>
      </c>
      <c r="AH32" s="21">
        <f t="shared" si="21"/>
        <v>0</v>
      </c>
      <c r="AI32" s="47">
        <f t="shared" si="9"/>
        <v>0</v>
      </c>
      <c r="AM32">
        <f t="shared" si="22"/>
        <v>0</v>
      </c>
      <c r="AN32">
        <f t="shared" si="23"/>
        <v>0</v>
      </c>
      <c r="AP32" s="80">
        <f>MIN(I32,I33)*J32</f>
        <v>0</v>
      </c>
    </row>
    <row r="33" spans="1:42" x14ac:dyDescent="0.3">
      <c r="A33" s="10">
        <f t="shared" si="24"/>
        <v>22</v>
      </c>
      <c r="B33" s="3">
        <f>Расчет!B26/COS(RADIANS(K33))</f>
        <v>0</v>
      </c>
      <c r="C33" s="3">
        <f>Расчет!C26</f>
        <v>0</v>
      </c>
      <c r="D33" s="6">
        <f>Расчет!D26</f>
        <v>0</v>
      </c>
      <c r="E33" s="9">
        <f>Расчет!E26</f>
        <v>1</v>
      </c>
      <c r="F33" s="81" t="s">
        <v>28</v>
      </c>
      <c r="G33" s="81"/>
      <c r="H33" s="82"/>
      <c r="I33" s="4">
        <f>Расчет!I26</f>
        <v>0</v>
      </c>
      <c r="J33" s="58"/>
      <c r="K33" s="27">
        <f>IF(Расчет!$B$55=1,D33,ATAN(0.01*D33)*180/3.14159265359)</f>
        <v>0</v>
      </c>
      <c r="L33" s="27">
        <f t="shared" si="0"/>
        <v>0</v>
      </c>
      <c r="M33" s="39">
        <f t="shared" si="10"/>
        <v>0</v>
      </c>
      <c r="N33" s="31">
        <f t="shared" si="11"/>
        <v>-3</v>
      </c>
      <c r="O33" s="31">
        <f t="shared" si="1"/>
        <v>-6</v>
      </c>
      <c r="P33" s="31">
        <f t="shared" si="2"/>
        <v>-9</v>
      </c>
      <c r="Q33" s="31">
        <f t="shared" si="3"/>
        <v>-12</v>
      </c>
      <c r="R33" s="31">
        <f t="shared" si="4"/>
        <v>-15</v>
      </c>
      <c r="S33" s="31">
        <f t="shared" si="12"/>
        <v>-18</v>
      </c>
      <c r="T33" s="31">
        <f t="shared" si="13"/>
        <v>-21</v>
      </c>
      <c r="U33" s="41" cm="1">
        <f t="array" ref="U33">_xlfn._xlws.FILTER(M33:T33, (M33:T33 &gt;= 0) * (M33:T33 &lt; $C$6), "Нет чисел")</f>
        <v>0</v>
      </c>
      <c r="V33" s="40">
        <f t="shared" si="14"/>
        <v>1</v>
      </c>
      <c r="W33" s="21">
        <f t="shared" si="5"/>
        <v>1</v>
      </c>
      <c r="X33" s="41">
        <f t="shared" si="6"/>
        <v>0</v>
      </c>
      <c r="Y33" s="40">
        <f t="shared" si="15"/>
        <v>0</v>
      </c>
      <c r="Z33" s="42">
        <f t="shared" si="7"/>
        <v>1</v>
      </c>
      <c r="AA33" s="21">
        <f t="shared" si="16"/>
        <v>0</v>
      </c>
      <c r="AB33" s="40">
        <f t="shared" si="17"/>
        <v>0</v>
      </c>
      <c r="AC33">
        <f t="shared" si="8"/>
        <v>1</v>
      </c>
      <c r="AD33" s="37">
        <f t="shared" si="18"/>
        <v>1</v>
      </c>
      <c r="AE33" s="25">
        <f t="shared" si="19"/>
        <v>0</v>
      </c>
      <c r="AF33">
        <f t="shared" si="25"/>
        <v>0</v>
      </c>
      <c r="AG33" s="29">
        <f t="shared" si="20"/>
        <v>0</v>
      </c>
      <c r="AH33" s="21">
        <f t="shared" si="21"/>
        <v>0</v>
      </c>
      <c r="AI33" s="47">
        <f t="shared" si="9"/>
        <v>0</v>
      </c>
      <c r="AM33">
        <f t="shared" si="22"/>
        <v>0</v>
      </c>
      <c r="AN33">
        <f t="shared" si="23"/>
        <v>0</v>
      </c>
      <c r="AP33" s="80"/>
    </row>
    <row r="34" spans="1:42" x14ac:dyDescent="0.3">
      <c r="A34" s="10">
        <f t="shared" si="24"/>
        <v>23</v>
      </c>
      <c r="B34" s="3">
        <f>Расчет!B27/COS(RADIANS(K34))</f>
        <v>0</v>
      </c>
      <c r="C34" s="3">
        <f>Расчет!C27</f>
        <v>0</v>
      </c>
      <c r="D34" s="6">
        <f>Расчет!D27</f>
        <v>0</v>
      </c>
      <c r="E34" s="9">
        <f>Расчет!E27</f>
        <v>1</v>
      </c>
      <c r="F34" s="83" t="s">
        <v>29</v>
      </c>
      <c r="G34" s="83"/>
      <c r="H34" s="84"/>
      <c r="I34" s="4">
        <f>Расчет!I27</f>
        <v>0</v>
      </c>
      <c r="J34" s="57">
        <f>Расчет!J27</f>
        <v>1</v>
      </c>
      <c r="K34" s="27">
        <f>IF(Расчет!$B$55=1,D34,ATAN(0.01*D34)*180/3.14159265359)</f>
        <v>0</v>
      </c>
      <c r="L34" s="27">
        <f t="shared" si="0"/>
        <v>0</v>
      </c>
      <c r="M34" s="39">
        <f t="shared" si="10"/>
        <v>0</v>
      </c>
      <c r="N34" s="31">
        <f t="shared" si="11"/>
        <v>-3</v>
      </c>
      <c r="O34" s="31">
        <f t="shared" si="1"/>
        <v>-6</v>
      </c>
      <c r="P34" s="31">
        <f t="shared" si="2"/>
        <v>-9</v>
      </c>
      <c r="Q34" s="31">
        <f t="shared" si="3"/>
        <v>-12</v>
      </c>
      <c r="R34" s="31">
        <f t="shared" si="4"/>
        <v>-15</v>
      </c>
      <c r="S34" s="31">
        <f t="shared" si="12"/>
        <v>-18</v>
      </c>
      <c r="T34" s="31">
        <f t="shared" si="13"/>
        <v>-21</v>
      </c>
      <c r="U34" s="41" cm="1">
        <f t="array" ref="U34">_xlfn._xlws.FILTER(M34:T34, (M34:T34 &gt;= 0) * (M34:T34 &lt; $C$6), "Нет чисел")</f>
        <v>0</v>
      </c>
      <c r="V34" s="40">
        <f t="shared" si="14"/>
        <v>1</v>
      </c>
      <c r="W34" s="21">
        <f t="shared" si="5"/>
        <v>1</v>
      </c>
      <c r="X34" s="41">
        <f t="shared" si="6"/>
        <v>0</v>
      </c>
      <c r="Y34" s="40">
        <f t="shared" si="15"/>
        <v>0</v>
      </c>
      <c r="Z34" s="42">
        <f t="shared" si="7"/>
        <v>1</v>
      </c>
      <c r="AA34" s="21">
        <f t="shared" si="16"/>
        <v>0</v>
      </c>
      <c r="AB34" s="40">
        <f t="shared" si="17"/>
        <v>0</v>
      </c>
      <c r="AC34">
        <f t="shared" si="8"/>
        <v>1</v>
      </c>
      <c r="AD34" s="37">
        <f t="shared" si="18"/>
        <v>1</v>
      </c>
      <c r="AE34" s="25">
        <f t="shared" si="19"/>
        <v>0</v>
      </c>
      <c r="AF34">
        <f t="shared" si="25"/>
        <v>0</v>
      </c>
      <c r="AG34" s="29">
        <f t="shared" si="20"/>
        <v>0</v>
      </c>
      <c r="AH34" s="21">
        <f t="shared" si="21"/>
        <v>0</v>
      </c>
      <c r="AI34" s="47">
        <f t="shared" si="9"/>
        <v>0</v>
      </c>
      <c r="AM34">
        <f t="shared" si="22"/>
        <v>0</v>
      </c>
      <c r="AN34">
        <f t="shared" si="23"/>
        <v>0</v>
      </c>
      <c r="AP34" s="80">
        <f>MIN(I34,I35)*J34</f>
        <v>0</v>
      </c>
    </row>
    <row r="35" spans="1:42" x14ac:dyDescent="0.3">
      <c r="A35" s="10">
        <f t="shared" si="24"/>
        <v>24</v>
      </c>
      <c r="B35" s="3">
        <f>Расчет!B28/COS(RADIANS(K35))</f>
        <v>0</v>
      </c>
      <c r="C35" s="3">
        <f>Расчет!C28</f>
        <v>0</v>
      </c>
      <c r="D35" s="6">
        <f>Расчет!D28</f>
        <v>0</v>
      </c>
      <c r="E35" s="9">
        <f>Расчет!E28</f>
        <v>1</v>
      </c>
      <c r="F35" s="85" t="s">
        <v>30</v>
      </c>
      <c r="G35" s="85"/>
      <c r="H35" s="86"/>
      <c r="I35" s="4">
        <f>Расчет!I28</f>
        <v>0</v>
      </c>
      <c r="J35" s="58"/>
      <c r="K35" s="27">
        <f>IF(Расчет!$B$55=1,D35,ATAN(0.01*D35)*180/3.14159265359)</f>
        <v>0</v>
      </c>
      <c r="L35" s="27">
        <f t="shared" si="0"/>
        <v>0</v>
      </c>
      <c r="M35" s="39">
        <f t="shared" si="10"/>
        <v>0</v>
      </c>
      <c r="N35" s="31">
        <f t="shared" si="11"/>
        <v>-3</v>
      </c>
      <c r="O35" s="31">
        <f t="shared" si="1"/>
        <v>-6</v>
      </c>
      <c r="P35" s="31">
        <f t="shared" si="2"/>
        <v>-9</v>
      </c>
      <c r="Q35" s="31">
        <f t="shared" si="3"/>
        <v>-12</v>
      </c>
      <c r="R35" s="31">
        <f t="shared" si="4"/>
        <v>-15</v>
      </c>
      <c r="S35" s="31">
        <f t="shared" si="12"/>
        <v>-18</v>
      </c>
      <c r="T35" s="31">
        <f t="shared" si="13"/>
        <v>-21</v>
      </c>
      <c r="U35" s="41" cm="1">
        <f t="array" ref="U35">_xlfn._xlws.FILTER(M35:T35, (M35:T35 &gt;= 0) * (M35:T35 &lt; $C$6), "Нет чисел")</f>
        <v>0</v>
      </c>
      <c r="V35" s="40">
        <f t="shared" si="14"/>
        <v>1</v>
      </c>
      <c r="W35" s="21">
        <f t="shared" si="5"/>
        <v>1</v>
      </c>
      <c r="X35" s="41">
        <f t="shared" si="6"/>
        <v>0</v>
      </c>
      <c r="Y35" s="40">
        <f t="shared" si="15"/>
        <v>0</v>
      </c>
      <c r="Z35" s="42">
        <f t="shared" si="7"/>
        <v>1</v>
      </c>
      <c r="AA35" s="21">
        <f t="shared" si="16"/>
        <v>0</v>
      </c>
      <c r="AB35" s="40">
        <f t="shared" si="17"/>
        <v>0</v>
      </c>
      <c r="AC35">
        <f t="shared" si="8"/>
        <v>1</v>
      </c>
      <c r="AD35" s="37">
        <f t="shared" si="18"/>
        <v>1</v>
      </c>
      <c r="AE35" s="25">
        <f t="shared" si="19"/>
        <v>0</v>
      </c>
      <c r="AF35">
        <f t="shared" si="25"/>
        <v>0</v>
      </c>
      <c r="AG35" s="29">
        <f t="shared" si="20"/>
        <v>0</v>
      </c>
      <c r="AH35" s="21">
        <f t="shared" si="21"/>
        <v>0</v>
      </c>
      <c r="AI35" s="47">
        <f t="shared" si="9"/>
        <v>0</v>
      </c>
      <c r="AM35">
        <f t="shared" si="22"/>
        <v>0</v>
      </c>
      <c r="AN35">
        <f t="shared" si="23"/>
        <v>0</v>
      </c>
      <c r="AP35" s="80"/>
    </row>
    <row r="36" spans="1:42" x14ac:dyDescent="0.3">
      <c r="A36" s="10">
        <f t="shared" si="24"/>
        <v>25</v>
      </c>
      <c r="B36" s="3">
        <f>Расчет!B29/COS(RADIANS(K36))</f>
        <v>0</v>
      </c>
      <c r="C36" s="3">
        <f>Расчет!C29</f>
        <v>0</v>
      </c>
      <c r="D36" s="6">
        <f>Расчет!D29</f>
        <v>0</v>
      </c>
      <c r="E36" s="9">
        <f>Расчет!E29</f>
        <v>1</v>
      </c>
      <c r="F36" s="78" t="s">
        <v>31</v>
      </c>
      <c r="G36" s="78"/>
      <c r="H36" s="79"/>
      <c r="I36" s="4">
        <f>Расчет!I29</f>
        <v>0</v>
      </c>
      <c r="J36" s="57">
        <f>Расчет!J29</f>
        <v>1</v>
      </c>
      <c r="K36" s="27">
        <f>IF(Расчет!$B$55=1,D36,ATAN(0.01*D36)*180/3.14159265359)</f>
        <v>0</v>
      </c>
      <c r="L36" s="27">
        <f t="shared" si="0"/>
        <v>0</v>
      </c>
      <c r="M36" s="39">
        <f t="shared" si="10"/>
        <v>0</v>
      </c>
      <c r="N36" s="31">
        <f t="shared" si="11"/>
        <v>-3</v>
      </c>
      <c r="O36" s="31">
        <f t="shared" si="1"/>
        <v>-6</v>
      </c>
      <c r="P36" s="31">
        <f t="shared" si="2"/>
        <v>-9</v>
      </c>
      <c r="Q36" s="31">
        <f t="shared" si="3"/>
        <v>-12</v>
      </c>
      <c r="R36" s="31">
        <f t="shared" si="4"/>
        <v>-15</v>
      </c>
      <c r="S36" s="31">
        <f t="shared" si="12"/>
        <v>-18</v>
      </c>
      <c r="T36" s="31">
        <f t="shared" si="13"/>
        <v>-21</v>
      </c>
      <c r="U36" s="31" cm="1">
        <f t="array" ref="U36">_xlfn._xlws.FILTER(M36:T36, (M36:T36 &gt;= 0) * (M36:T36 &lt; $C$6), "Нет чисел")</f>
        <v>0</v>
      </c>
      <c r="V36" s="40">
        <f t="shared" si="14"/>
        <v>1</v>
      </c>
      <c r="W36" s="21">
        <f t="shared" si="5"/>
        <v>1</v>
      </c>
      <c r="X36" s="31">
        <f t="shared" si="6"/>
        <v>0</v>
      </c>
      <c r="Y36" s="40">
        <f t="shared" si="15"/>
        <v>0</v>
      </c>
      <c r="Z36" s="21">
        <f t="shared" si="7"/>
        <v>1</v>
      </c>
      <c r="AA36" s="21">
        <f t="shared" si="16"/>
        <v>0</v>
      </c>
      <c r="AB36" s="40">
        <f t="shared" si="17"/>
        <v>0</v>
      </c>
      <c r="AC36">
        <f t="shared" si="8"/>
        <v>1</v>
      </c>
      <c r="AD36" s="37">
        <f t="shared" si="18"/>
        <v>1</v>
      </c>
      <c r="AE36" s="25">
        <f t="shared" si="19"/>
        <v>0</v>
      </c>
      <c r="AF36">
        <f t="shared" si="25"/>
        <v>0</v>
      </c>
      <c r="AG36" s="29">
        <f t="shared" si="20"/>
        <v>0</v>
      </c>
      <c r="AH36" s="21">
        <f t="shared" si="21"/>
        <v>0</v>
      </c>
      <c r="AI36" s="47">
        <f t="shared" si="9"/>
        <v>0</v>
      </c>
      <c r="AM36">
        <f t="shared" si="22"/>
        <v>0</v>
      </c>
      <c r="AN36">
        <f t="shared" si="23"/>
        <v>0</v>
      </c>
      <c r="AP36" s="80">
        <f>MIN(I36,I37)*J36</f>
        <v>0</v>
      </c>
    </row>
    <row r="37" spans="1:42" x14ac:dyDescent="0.3">
      <c r="A37" s="10">
        <f t="shared" si="24"/>
        <v>26</v>
      </c>
      <c r="B37" s="3">
        <f>Расчет!B30/COS(RADIANS(K37))</f>
        <v>0</v>
      </c>
      <c r="C37" s="3">
        <f>Расчет!C30</f>
        <v>0</v>
      </c>
      <c r="D37" s="6">
        <f>Расчет!D30</f>
        <v>0</v>
      </c>
      <c r="E37" s="9">
        <f>Расчет!E30</f>
        <v>1</v>
      </c>
      <c r="F37" s="81" t="s">
        <v>32</v>
      </c>
      <c r="G37" s="81"/>
      <c r="H37" s="82"/>
      <c r="I37" s="4">
        <f>Расчет!I30</f>
        <v>0</v>
      </c>
      <c r="J37" s="58"/>
      <c r="K37" s="27">
        <f>IF(Расчет!$B$55=1,D37,ATAN(0.01*D37)*180/3.14159265359)</f>
        <v>0</v>
      </c>
      <c r="L37" s="27">
        <f t="shared" si="0"/>
        <v>0</v>
      </c>
      <c r="M37" s="39">
        <f t="shared" si="10"/>
        <v>0</v>
      </c>
      <c r="N37" s="31">
        <f t="shared" si="11"/>
        <v>-3</v>
      </c>
      <c r="O37" s="31">
        <f t="shared" si="1"/>
        <v>-6</v>
      </c>
      <c r="P37" s="31">
        <f t="shared" si="2"/>
        <v>-9</v>
      </c>
      <c r="Q37" s="31">
        <f t="shared" si="3"/>
        <v>-12</v>
      </c>
      <c r="R37" s="31">
        <f t="shared" si="4"/>
        <v>-15</v>
      </c>
      <c r="S37" s="31">
        <f t="shared" si="12"/>
        <v>-18</v>
      </c>
      <c r="T37" s="31">
        <f t="shared" si="13"/>
        <v>-21</v>
      </c>
      <c r="U37" s="31" cm="1">
        <f t="array" ref="U37">_xlfn._xlws.FILTER(M37:T37, (M37:T37 &gt;= 0) * (M37:T37 &lt; $C$6), "Нет чисел")</f>
        <v>0</v>
      </c>
      <c r="V37" s="40">
        <f t="shared" si="14"/>
        <v>1</v>
      </c>
      <c r="W37" s="21">
        <f t="shared" si="5"/>
        <v>1</v>
      </c>
      <c r="X37" s="31">
        <f t="shared" si="6"/>
        <v>0</v>
      </c>
      <c r="Y37" s="40">
        <f t="shared" si="15"/>
        <v>0</v>
      </c>
      <c r="Z37" s="21">
        <f t="shared" si="7"/>
        <v>1</v>
      </c>
      <c r="AA37" s="21">
        <f t="shared" si="16"/>
        <v>0</v>
      </c>
      <c r="AB37" s="40">
        <f t="shared" si="17"/>
        <v>0</v>
      </c>
      <c r="AC37">
        <f t="shared" si="8"/>
        <v>1</v>
      </c>
      <c r="AD37" s="37">
        <f t="shared" si="18"/>
        <v>1</v>
      </c>
      <c r="AE37" s="25">
        <f t="shared" si="19"/>
        <v>0</v>
      </c>
      <c r="AF37">
        <f t="shared" si="25"/>
        <v>0</v>
      </c>
      <c r="AG37" s="29">
        <f t="shared" si="20"/>
        <v>0</v>
      </c>
      <c r="AH37" s="21">
        <f t="shared" si="21"/>
        <v>0</v>
      </c>
      <c r="AI37" s="47">
        <f t="shared" si="9"/>
        <v>0</v>
      </c>
      <c r="AM37">
        <f t="shared" si="22"/>
        <v>0</v>
      </c>
      <c r="AN37">
        <f t="shared" si="23"/>
        <v>0</v>
      </c>
      <c r="AP37" s="80"/>
    </row>
    <row r="38" spans="1:42" x14ac:dyDescent="0.3">
      <c r="AE38" s="25">
        <f>SUM(AE12:AE37)</f>
        <v>29.666264020707505</v>
      </c>
      <c r="AF38">
        <f>SUM(AF12:AF37)</f>
        <v>5.8</v>
      </c>
      <c r="AG38" s="29">
        <f>SUM(AG12:AG37)+AP38</f>
        <v>8.8000000000000007</v>
      </c>
      <c r="AH38" s="40">
        <f>SUM(AH12:AH37)-AJ12</f>
        <v>32.666264020707501</v>
      </c>
      <c r="AI38" s="47">
        <f>SUM(AI12:AI37)</f>
        <v>27.58</v>
      </c>
      <c r="AL38" s="17" t="s">
        <v>5</v>
      </c>
      <c r="AM38" s="17">
        <f>2*SUM(AM12:AM37)</f>
        <v>27.200000000000003</v>
      </c>
      <c r="AN38" s="17">
        <f>2*SUM(AN12:AN37)</f>
        <v>11.299999999999999</v>
      </c>
      <c r="AO38" s="17"/>
      <c r="AP38" s="54">
        <f>SUM(AP12:AP37)</f>
        <v>0</v>
      </c>
    </row>
    <row r="39" spans="1:42" ht="28.8" x14ac:dyDescent="0.3">
      <c r="AD39" s="44" t="s">
        <v>128</v>
      </c>
      <c r="AE39" s="45">
        <f>(AE38-AJ12)*1.03</f>
        <v>30.556251941328732</v>
      </c>
      <c r="AF39" s="52" t="s">
        <v>131</v>
      </c>
      <c r="AG39" s="53">
        <f>AG38*1.03</f>
        <v>9.0640000000000018</v>
      </c>
      <c r="AH39" s="21">
        <f>(AF38+AP38)*1.03</f>
        <v>5.9740000000000002</v>
      </c>
    </row>
    <row r="42" spans="1:42" ht="57.6" x14ac:dyDescent="0.3">
      <c r="I42" s="1" t="s">
        <v>48</v>
      </c>
      <c r="J42" s="5">
        <f>2*(I12+I13)*J12+2*(I14+I15)*J14+2*(I16+I17)*J16+2*(I18+I19)*J18+2*(I20+I21)*J20+2*(I22+I23)*J22+2*(I24+I25)*J24+2*(I26+I27)*J26+2*(I28+I29)*J28+(I30+I31)*J30+2*(I32+I33)*J32+2*(I34+I35)*J34+2*(I36+I37)*J36</f>
        <v>0</v>
      </c>
      <c r="AJ42" s="1" t="s">
        <v>52</v>
      </c>
      <c r="AK42">
        <f>IF(Расчет!C56=1,0.3,IF(Расчет!C56=2,1,0))</f>
        <v>0</v>
      </c>
    </row>
    <row r="44" spans="1:42" x14ac:dyDescent="0.3">
      <c r="J44" s="22" t="s">
        <v>71</v>
      </c>
      <c r="K44" s="28"/>
      <c r="L44" s="28"/>
      <c r="M44" s="28"/>
      <c r="N44" s="32"/>
      <c r="O44" s="32"/>
      <c r="P44" s="32"/>
      <c r="Q44" s="32"/>
      <c r="R44" s="32"/>
      <c r="S44" s="32"/>
      <c r="T44" s="32"/>
      <c r="U44" s="32"/>
      <c r="V44" s="37"/>
      <c r="W44" s="22"/>
      <c r="X44" s="22"/>
      <c r="Y44" s="22"/>
      <c r="Z44" s="22"/>
      <c r="AA44" s="22"/>
      <c r="AB44" s="22"/>
      <c r="AH44" s="22"/>
    </row>
    <row r="45" spans="1:42" x14ac:dyDescent="0.3">
      <c r="J45" s="22" t="b">
        <v>0</v>
      </c>
      <c r="K45" s="28" t="s">
        <v>72</v>
      </c>
      <c r="L45" s="28"/>
      <c r="M45" s="28"/>
      <c r="N45" s="32"/>
      <c r="O45" s="32"/>
      <c r="P45" s="32"/>
      <c r="Q45" s="32"/>
      <c r="R45" s="32"/>
      <c r="S45" s="32"/>
      <c r="T45" s="32"/>
      <c r="U45" s="32"/>
      <c r="V45" s="37"/>
      <c r="W45" s="22"/>
      <c r="X45" s="22"/>
      <c r="Y45" s="22"/>
      <c r="Z45" s="22"/>
      <c r="AA45" s="22"/>
      <c r="AB45" s="22"/>
      <c r="AH45" s="22"/>
    </row>
    <row r="46" spans="1:42" x14ac:dyDescent="0.3">
      <c r="J46">
        <f>(AM38-AN38*2)/2</f>
        <v>2.3000000000000025</v>
      </c>
    </row>
    <row r="56" spans="1:1" x14ac:dyDescent="0.3">
      <c r="A56" t="s">
        <v>132</v>
      </c>
    </row>
    <row r="57" spans="1:1" x14ac:dyDescent="0.3">
      <c r="A57" t="s">
        <v>133</v>
      </c>
    </row>
    <row r="58" spans="1:1" x14ac:dyDescent="0.3">
      <c r="A58" t="s">
        <v>134</v>
      </c>
    </row>
    <row r="59" spans="1:1" x14ac:dyDescent="0.3">
      <c r="A59" t="s">
        <v>135</v>
      </c>
    </row>
    <row r="60" spans="1:1" x14ac:dyDescent="0.3">
      <c r="A60" s="22" t="str" cm="1">
        <f t="array" ref="A60">INDEX(A56:A59,A6)</f>
        <v>Панель ASKO NEO перфорована, без перфорації, 3х0,305 = 0,915 м2</v>
      </c>
    </row>
  </sheetData>
  <mergeCells count="53">
    <mergeCell ref="F14:H14"/>
    <mergeCell ref="J14:J15"/>
    <mergeCell ref="AP14:AP15"/>
    <mergeCell ref="F15:H15"/>
    <mergeCell ref="F11:I11"/>
    <mergeCell ref="F12:H12"/>
    <mergeCell ref="J12:J13"/>
    <mergeCell ref="AP12:AP13"/>
    <mergeCell ref="F13:H13"/>
    <mergeCell ref="F16:H16"/>
    <mergeCell ref="J16:J17"/>
    <mergeCell ref="AP16:AP17"/>
    <mergeCell ref="F17:H17"/>
    <mergeCell ref="F18:H18"/>
    <mergeCell ref="J18:J19"/>
    <mergeCell ref="AP18:AP19"/>
    <mergeCell ref="F19:H19"/>
    <mergeCell ref="F20:H20"/>
    <mergeCell ref="J20:J21"/>
    <mergeCell ref="AP20:AP21"/>
    <mergeCell ref="F21:H21"/>
    <mergeCell ref="F22:H22"/>
    <mergeCell ref="J22:J23"/>
    <mergeCell ref="AP22:AP23"/>
    <mergeCell ref="F23:H23"/>
    <mergeCell ref="F24:H24"/>
    <mergeCell ref="J24:J25"/>
    <mergeCell ref="AP24:AP25"/>
    <mergeCell ref="F25:H25"/>
    <mergeCell ref="F26:H26"/>
    <mergeCell ref="J26:J27"/>
    <mergeCell ref="AP26:AP27"/>
    <mergeCell ref="F27:H27"/>
    <mergeCell ref="F28:H28"/>
    <mergeCell ref="J28:J29"/>
    <mergeCell ref="AP28:AP29"/>
    <mergeCell ref="F29:H29"/>
    <mergeCell ref="F30:H30"/>
    <mergeCell ref="J30:J31"/>
    <mergeCell ref="AP30:AP31"/>
    <mergeCell ref="F31:H31"/>
    <mergeCell ref="F36:H36"/>
    <mergeCell ref="J36:J37"/>
    <mergeCell ref="AP36:AP37"/>
    <mergeCell ref="F37:H37"/>
    <mergeCell ref="F32:H32"/>
    <mergeCell ref="J32:J33"/>
    <mergeCell ref="AP32:AP33"/>
    <mergeCell ref="F33:H33"/>
    <mergeCell ref="F34:H34"/>
    <mergeCell ref="J34:J35"/>
    <mergeCell ref="AP34:AP35"/>
    <mergeCell ref="F35:H35"/>
  </mergeCells>
  <phoneticPr fontId="1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Y36"/>
  <sheetViews>
    <sheetView zoomScale="80" zoomScaleNormal="80" workbookViewId="0">
      <selection activeCell="V4" sqref="V4"/>
    </sheetView>
  </sheetViews>
  <sheetFormatPr defaultRowHeight="14.4" x14ac:dyDescent="0.3"/>
  <cols>
    <col min="6" max="6" width="6.5546875" customWidth="1"/>
    <col min="7" max="7" width="4.44140625" customWidth="1"/>
    <col min="8" max="8" width="2.44140625" customWidth="1"/>
    <col min="12" max="12" width="10" customWidth="1"/>
    <col min="13" max="13" width="10.5546875" customWidth="1"/>
    <col min="14" max="14" width="11.88671875" customWidth="1"/>
    <col min="15" max="15" width="9.88671875" customWidth="1"/>
  </cols>
  <sheetData>
    <row r="1" spans="1:25" ht="86.4" x14ac:dyDescent="0.3">
      <c r="A1" s="11" t="s">
        <v>33</v>
      </c>
      <c r="B1" s="12" t="s">
        <v>34</v>
      </c>
      <c r="C1" s="7" t="s">
        <v>35</v>
      </c>
      <c r="D1" s="13" t="s">
        <v>36</v>
      </c>
      <c r="E1" s="8" t="s">
        <v>37</v>
      </c>
      <c r="F1" s="87" t="s">
        <v>38</v>
      </c>
      <c r="G1" s="88"/>
      <c r="H1" s="88"/>
      <c r="I1" s="89"/>
      <c r="J1" s="8" t="s">
        <v>6</v>
      </c>
      <c r="K1" s="12" t="s">
        <v>42</v>
      </c>
      <c r="L1" s="8" t="s">
        <v>40</v>
      </c>
      <c r="M1" s="8" t="s">
        <v>41</v>
      </c>
      <c r="N1" s="8" t="s">
        <v>43</v>
      </c>
      <c r="O1" s="8" t="s">
        <v>44</v>
      </c>
      <c r="P1" s="8" t="s">
        <v>45</v>
      </c>
      <c r="Q1" s="8" t="s">
        <v>46</v>
      </c>
      <c r="R1" s="8" t="s">
        <v>47</v>
      </c>
      <c r="S1" s="8" t="s">
        <v>56</v>
      </c>
      <c r="T1" s="8" t="s">
        <v>49</v>
      </c>
      <c r="U1" s="8" t="s">
        <v>50</v>
      </c>
      <c r="V1" s="8" t="s">
        <v>51</v>
      </c>
      <c r="W1" s="19" t="s">
        <v>65</v>
      </c>
      <c r="X1" s="19" t="s">
        <v>54</v>
      </c>
      <c r="Y1" s="19" t="s">
        <v>55</v>
      </c>
    </row>
    <row r="2" spans="1:25" x14ac:dyDescent="0.3">
      <c r="A2" s="10">
        <v>1</v>
      </c>
      <c r="B2" s="3">
        <f>Расчет!B5/COS(RADIANS(K2))</f>
        <v>3.25</v>
      </c>
      <c r="C2" s="3">
        <f>Расчет!C5</f>
        <v>5.8</v>
      </c>
      <c r="D2" s="6">
        <f>Расчет!D5</f>
        <v>0</v>
      </c>
      <c r="E2" s="9">
        <f>Расчет!E5</f>
        <v>1</v>
      </c>
      <c r="F2" s="78" t="s">
        <v>7</v>
      </c>
      <c r="G2" s="78"/>
      <c r="H2" s="79"/>
      <c r="I2" s="4">
        <f>Расчет!I5</f>
        <v>0</v>
      </c>
      <c r="J2" s="57">
        <f>Расчет!J5</f>
        <v>1</v>
      </c>
      <c r="K2" s="21">
        <f>IF(Расчет!$B$55=1,D2,ATAN(0.01*D2)*180/3.14159265359)</f>
        <v>0</v>
      </c>
      <c r="L2">
        <f>B2*C2*E2</f>
        <v>18.849999999999998</v>
      </c>
      <c r="M2" s="5">
        <f>I2*I3*J2+I4*I5*J4+I6*I7*J6+I8*I9*J8+I10*I11*J10+I12*I13*J12+I14*I15*J14+I16*I17*J16+I18*I19*J18+I20*I21*J20+I22*I23*J22+I24*I25*J24+I26*I27*J26</f>
        <v>0</v>
      </c>
      <c r="N2" s="5">
        <f>L28-M2</f>
        <v>27.58</v>
      </c>
      <c r="O2">
        <f>N2*1.1</f>
        <v>30.338000000000001</v>
      </c>
      <c r="P2">
        <f>B2*E2</f>
        <v>3.25</v>
      </c>
      <c r="Q2">
        <f>C2*E2</f>
        <v>5.8</v>
      </c>
      <c r="R2">
        <f>IF(J35=TRUE,J36,P28+Q28-J32)</f>
        <v>38.5</v>
      </c>
      <c r="S2" s="80">
        <f>MIN(I2,I3)*J2</f>
        <v>0</v>
      </c>
      <c r="U2">
        <f>IF(C2&lt;3.5,0,FLOOR(((X2-0.001)/3.5),1)*E2*Y2)</f>
        <v>0</v>
      </c>
      <c r="V2">
        <f>IF(X2&lt;3,0,FLOOR(((X2-0.001)/3),1)*Y2*E2)</f>
        <v>5.8</v>
      </c>
      <c r="W2">
        <f>IF(X2&lt;2.7,0,FLOOR(((X2-0.001)/2.7),1)*Y2*E2)</f>
        <v>5.8</v>
      </c>
      <c r="X2">
        <f>MIN(B2,C2)</f>
        <v>3.25</v>
      </c>
      <c r="Y2">
        <f>MAX(B2,C2)</f>
        <v>5.8</v>
      </c>
    </row>
    <row r="3" spans="1:25" x14ac:dyDescent="0.3">
      <c r="A3" s="10">
        <f>A2+1</f>
        <v>2</v>
      </c>
      <c r="B3" s="3">
        <f>Расчет!B6/COS(RADIANS(K3))</f>
        <v>1.55</v>
      </c>
      <c r="C3" s="3">
        <f>Расчет!C6</f>
        <v>3</v>
      </c>
      <c r="D3" s="6">
        <f>Расчет!D6</f>
        <v>0</v>
      </c>
      <c r="E3" s="9">
        <f>Расчет!E6</f>
        <v>1</v>
      </c>
      <c r="F3" s="81" t="s">
        <v>8</v>
      </c>
      <c r="G3" s="81"/>
      <c r="H3" s="82"/>
      <c r="I3" s="4">
        <f>Расчет!I6</f>
        <v>0</v>
      </c>
      <c r="J3" s="58"/>
      <c r="K3" s="21">
        <f>IF(Расчет!$B$55=1,D3,ATAN(0.01*D3)*180/3.14159265359)</f>
        <v>0</v>
      </c>
      <c r="L3">
        <f t="shared" ref="L3:L27" si="0">B3*C3*E3</f>
        <v>4.6500000000000004</v>
      </c>
      <c r="P3">
        <f>B3*E3</f>
        <v>1.55</v>
      </c>
      <c r="Q3">
        <f t="shared" ref="Q3:Q27" si="1">C3*E3</f>
        <v>3</v>
      </c>
      <c r="S3" s="80"/>
      <c r="U3">
        <f t="shared" ref="U3:U27" si="2">IF(X3&lt;3.5,0,FLOOR(((X3-0.001)/3.5),1)*E3*Y3)</f>
        <v>0</v>
      </c>
      <c r="V3">
        <f>IF(X3&lt;3,0,FLOOR(((X3-0.001)/3),1)*Y3*E3)</f>
        <v>0</v>
      </c>
      <c r="W3">
        <f t="shared" ref="W3:W27" si="3">IF(X3&lt;2.7,0,FLOOR(((X3-0.001)/2.7),1)*Y3*E3)</f>
        <v>0</v>
      </c>
      <c r="X3">
        <f t="shared" ref="X3:X28" si="4">MIN(B3,C3)</f>
        <v>1.55</v>
      </c>
      <c r="Y3">
        <f t="shared" ref="Y3:Y28" si="5">MAX(B3,C3)</f>
        <v>3</v>
      </c>
    </row>
    <row r="4" spans="1:25" x14ac:dyDescent="0.3">
      <c r="A4" s="10">
        <f t="shared" ref="A4:A27" si="6">A3+1</f>
        <v>3</v>
      </c>
      <c r="B4" s="3">
        <f>Расчет!B7/COS(RADIANS(K4))</f>
        <v>4.8</v>
      </c>
      <c r="C4" s="3">
        <f>Расчет!C7</f>
        <v>0.85</v>
      </c>
      <c r="D4" s="6">
        <f>Расчет!D7</f>
        <v>0</v>
      </c>
      <c r="E4" s="9">
        <f>Расчет!E7</f>
        <v>1</v>
      </c>
      <c r="F4" s="83" t="s">
        <v>9</v>
      </c>
      <c r="G4" s="83"/>
      <c r="H4" s="84"/>
      <c r="I4" s="4">
        <f>Расчет!I7</f>
        <v>0</v>
      </c>
      <c r="J4" s="57">
        <f>Расчет!J7</f>
        <v>1</v>
      </c>
      <c r="K4" s="21">
        <f>IF(Расчет!$B$55=1,D4,ATAN(0.01*D4)*180/3.14159265359)</f>
        <v>0</v>
      </c>
      <c r="L4">
        <f t="shared" si="0"/>
        <v>4.08</v>
      </c>
      <c r="P4">
        <f t="shared" ref="P4:P27" si="7">B4*E4</f>
        <v>4.8</v>
      </c>
      <c r="Q4">
        <f t="shared" si="1"/>
        <v>0.85</v>
      </c>
      <c r="S4" s="80">
        <f t="shared" ref="S4" si="8">MIN(I4,I5)*J4</f>
        <v>0</v>
      </c>
      <c r="U4">
        <f t="shared" si="2"/>
        <v>0</v>
      </c>
      <c r="V4">
        <f t="shared" ref="V4:V27" si="9">IF(X4&lt;3,0,FLOOR(((X4-0.001)/3),1)*Y4*E4)</f>
        <v>0</v>
      </c>
      <c r="W4">
        <f t="shared" si="3"/>
        <v>0</v>
      </c>
      <c r="X4">
        <f t="shared" si="4"/>
        <v>0.85</v>
      </c>
      <c r="Y4">
        <f t="shared" si="5"/>
        <v>4.8</v>
      </c>
    </row>
    <row r="5" spans="1:25" x14ac:dyDescent="0.3">
      <c r="A5" s="10">
        <f t="shared" si="6"/>
        <v>4</v>
      </c>
      <c r="B5" s="3">
        <f>Расчет!B8/COS(RADIANS(K5))</f>
        <v>0</v>
      </c>
      <c r="C5" s="3">
        <f>Расчет!C8</f>
        <v>0</v>
      </c>
      <c r="D5" s="6">
        <f>Расчет!D8</f>
        <v>0</v>
      </c>
      <c r="E5" s="9">
        <f>Расчет!E8</f>
        <v>1</v>
      </c>
      <c r="F5" s="85" t="s">
        <v>10</v>
      </c>
      <c r="G5" s="85"/>
      <c r="H5" s="86"/>
      <c r="I5" s="4">
        <f>Расчет!I8</f>
        <v>0</v>
      </c>
      <c r="J5" s="58"/>
      <c r="K5" s="21">
        <f>IF(Расчет!$B$55=1,D5,ATAN(0.01*D5)*180/3.14159265359)</f>
        <v>0</v>
      </c>
      <c r="L5">
        <f t="shared" si="0"/>
        <v>0</v>
      </c>
      <c r="P5">
        <f t="shared" si="7"/>
        <v>0</v>
      </c>
      <c r="Q5">
        <f t="shared" si="1"/>
        <v>0</v>
      </c>
      <c r="S5" s="80"/>
      <c r="U5">
        <f t="shared" si="2"/>
        <v>0</v>
      </c>
      <c r="V5">
        <f t="shared" si="9"/>
        <v>0</v>
      </c>
      <c r="W5">
        <f t="shared" si="3"/>
        <v>0</v>
      </c>
      <c r="X5">
        <f t="shared" si="4"/>
        <v>0</v>
      </c>
      <c r="Y5">
        <f t="shared" si="5"/>
        <v>0</v>
      </c>
    </row>
    <row r="6" spans="1:25" x14ac:dyDescent="0.3">
      <c r="A6" s="10">
        <f t="shared" si="6"/>
        <v>5</v>
      </c>
      <c r="B6" s="3">
        <f>Расчет!B9/COS(RADIANS(K6))</f>
        <v>0</v>
      </c>
      <c r="C6" s="3">
        <f>Расчет!C9</f>
        <v>0</v>
      </c>
      <c r="D6" s="6">
        <f>Расчет!D9</f>
        <v>0</v>
      </c>
      <c r="E6" s="9">
        <f>Расчет!E9</f>
        <v>1</v>
      </c>
      <c r="F6" s="78" t="s">
        <v>11</v>
      </c>
      <c r="G6" s="78"/>
      <c r="H6" s="79"/>
      <c r="I6" s="4">
        <f>Расчет!I9</f>
        <v>0</v>
      </c>
      <c r="J6" s="57">
        <f>Расчет!J9</f>
        <v>1</v>
      </c>
      <c r="K6" s="21">
        <f>IF(Расчет!$B$55=1,D6,ATAN(0.01*D6)*180/3.14159265359)</f>
        <v>0</v>
      </c>
      <c r="L6">
        <f t="shared" si="0"/>
        <v>0</v>
      </c>
      <c r="P6">
        <f t="shared" si="7"/>
        <v>0</v>
      </c>
      <c r="Q6">
        <f t="shared" si="1"/>
        <v>0</v>
      </c>
      <c r="S6" s="80">
        <f t="shared" ref="S6" si="10">MIN(I6,I7)*J6</f>
        <v>0</v>
      </c>
      <c r="U6">
        <f t="shared" si="2"/>
        <v>0</v>
      </c>
      <c r="V6">
        <f t="shared" si="9"/>
        <v>0</v>
      </c>
      <c r="W6">
        <f t="shared" si="3"/>
        <v>0</v>
      </c>
      <c r="X6">
        <f t="shared" si="4"/>
        <v>0</v>
      </c>
      <c r="Y6">
        <f t="shared" si="5"/>
        <v>0</v>
      </c>
    </row>
    <row r="7" spans="1:25" x14ac:dyDescent="0.3">
      <c r="A7" s="10">
        <f t="shared" si="6"/>
        <v>6</v>
      </c>
      <c r="B7" s="3">
        <f>Расчет!B10/COS(RADIANS(K7))</f>
        <v>0</v>
      </c>
      <c r="C7" s="3">
        <f>Расчет!C10</f>
        <v>0</v>
      </c>
      <c r="D7" s="6">
        <f>Расчет!D10</f>
        <v>0</v>
      </c>
      <c r="E7" s="9">
        <f>Расчет!E10</f>
        <v>1</v>
      </c>
      <c r="F7" s="81" t="s">
        <v>12</v>
      </c>
      <c r="G7" s="81"/>
      <c r="H7" s="82"/>
      <c r="I7" s="4">
        <f>Расчет!I10</f>
        <v>0</v>
      </c>
      <c r="J7" s="58"/>
      <c r="K7" s="21">
        <f>IF(Расчет!$B$55=1,D7,ATAN(0.01*D7)*180/3.14159265359)</f>
        <v>0</v>
      </c>
      <c r="L7">
        <f t="shared" si="0"/>
        <v>0</v>
      </c>
      <c r="P7">
        <f t="shared" si="7"/>
        <v>0</v>
      </c>
      <c r="Q7">
        <f t="shared" si="1"/>
        <v>0</v>
      </c>
      <c r="S7" s="80"/>
      <c r="U7">
        <f t="shared" si="2"/>
        <v>0</v>
      </c>
      <c r="V7">
        <f t="shared" si="9"/>
        <v>0</v>
      </c>
      <c r="W7">
        <f t="shared" si="3"/>
        <v>0</v>
      </c>
      <c r="X7">
        <f t="shared" si="4"/>
        <v>0</v>
      </c>
      <c r="Y7">
        <f t="shared" si="5"/>
        <v>0</v>
      </c>
    </row>
    <row r="8" spans="1:25" x14ac:dyDescent="0.3">
      <c r="A8" s="10">
        <f t="shared" si="6"/>
        <v>7</v>
      </c>
      <c r="B8" s="3">
        <f>Расчет!B11/COS(RADIANS(K8))</f>
        <v>0</v>
      </c>
      <c r="C8" s="3">
        <f>Расчет!C11</f>
        <v>0</v>
      </c>
      <c r="D8" s="6">
        <f>Расчет!D11</f>
        <v>0</v>
      </c>
      <c r="E8" s="9">
        <f>Расчет!E11</f>
        <v>1</v>
      </c>
      <c r="F8" s="83" t="s">
        <v>13</v>
      </c>
      <c r="G8" s="83"/>
      <c r="H8" s="84"/>
      <c r="I8" s="4">
        <f>Расчет!I11</f>
        <v>0</v>
      </c>
      <c r="J8" s="57">
        <f>Расчет!J11</f>
        <v>1</v>
      </c>
      <c r="K8" s="21">
        <f>IF(Расчет!$B$55=1,D8,ATAN(0.01*D8)*180/3.14159265359)</f>
        <v>0</v>
      </c>
      <c r="L8">
        <f t="shared" si="0"/>
        <v>0</v>
      </c>
      <c r="P8">
        <f t="shared" si="7"/>
        <v>0</v>
      </c>
      <c r="Q8">
        <f t="shared" si="1"/>
        <v>0</v>
      </c>
      <c r="S8" s="80">
        <f t="shared" ref="S8" si="11">MIN(I8,I9)*J8</f>
        <v>0</v>
      </c>
      <c r="U8">
        <f t="shared" si="2"/>
        <v>0</v>
      </c>
      <c r="V8">
        <f t="shared" si="9"/>
        <v>0</v>
      </c>
      <c r="W8">
        <f t="shared" si="3"/>
        <v>0</v>
      </c>
      <c r="X8">
        <f t="shared" si="4"/>
        <v>0</v>
      </c>
      <c r="Y8">
        <f t="shared" si="5"/>
        <v>0</v>
      </c>
    </row>
    <row r="9" spans="1:25" x14ac:dyDescent="0.3">
      <c r="A9" s="10">
        <f t="shared" si="6"/>
        <v>8</v>
      </c>
      <c r="B9" s="3">
        <f>Расчет!B12/COS(RADIANS(K9))</f>
        <v>0</v>
      </c>
      <c r="C9" s="3">
        <f>Расчет!C12</f>
        <v>0</v>
      </c>
      <c r="D9" s="6">
        <f>Расчет!D12</f>
        <v>0</v>
      </c>
      <c r="E9" s="9">
        <f>Расчет!E12</f>
        <v>1</v>
      </c>
      <c r="F9" s="85" t="s">
        <v>14</v>
      </c>
      <c r="G9" s="85"/>
      <c r="H9" s="86"/>
      <c r="I9" s="4">
        <f>Расчет!I12</f>
        <v>0</v>
      </c>
      <c r="J9" s="58"/>
      <c r="K9" s="21">
        <f>IF(Расчет!$B$55=1,D9,ATAN(0.01*D9)*180/3.14159265359)</f>
        <v>0</v>
      </c>
      <c r="L9">
        <f t="shared" si="0"/>
        <v>0</v>
      </c>
      <c r="P9">
        <f t="shared" si="7"/>
        <v>0</v>
      </c>
      <c r="Q9">
        <f t="shared" si="1"/>
        <v>0</v>
      </c>
      <c r="S9" s="80"/>
      <c r="U9">
        <f t="shared" si="2"/>
        <v>0</v>
      </c>
      <c r="V9">
        <f t="shared" si="9"/>
        <v>0</v>
      </c>
      <c r="W9">
        <f t="shared" si="3"/>
        <v>0</v>
      </c>
      <c r="X9">
        <f t="shared" si="4"/>
        <v>0</v>
      </c>
      <c r="Y9">
        <f t="shared" si="5"/>
        <v>0</v>
      </c>
    </row>
    <row r="10" spans="1:25" x14ac:dyDescent="0.3">
      <c r="A10" s="10">
        <f t="shared" si="6"/>
        <v>9</v>
      </c>
      <c r="B10" s="3">
        <f>Расчет!B13/COS(RADIANS(K10))</f>
        <v>0</v>
      </c>
      <c r="C10" s="3">
        <f>Расчет!C13</f>
        <v>0</v>
      </c>
      <c r="D10" s="6">
        <f>Расчет!D13</f>
        <v>0</v>
      </c>
      <c r="E10" s="9">
        <f>Расчет!E13</f>
        <v>1</v>
      </c>
      <c r="F10" s="78" t="s">
        <v>15</v>
      </c>
      <c r="G10" s="78"/>
      <c r="H10" s="79"/>
      <c r="I10" s="4">
        <f>Расчет!I13</f>
        <v>0</v>
      </c>
      <c r="J10" s="57">
        <f>Расчет!J13</f>
        <v>1</v>
      </c>
      <c r="K10" s="21">
        <f>IF(Расчет!$B$55=1,D10,ATAN(0.01*D10)*180/3.14159265359)</f>
        <v>0</v>
      </c>
      <c r="L10">
        <f t="shared" si="0"/>
        <v>0</v>
      </c>
      <c r="P10">
        <f t="shared" si="7"/>
        <v>0</v>
      </c>
      <c r="Q10">
        <f t="shared" si="1"/>
        <v>0</v>
      </c>
      <c r="S10" s="80">
        <f t="shared" ref="S10" si="12">MIN(I10,I11)*J10</f>
        <v>0</v>
      </c>
      <c r="U10">
        <f t="shared" si="2"/>
        <v>0</v>
      </c>
      <c r="V10">
        <f t="shared" si="9"/>
        <v>0</v>
      </c>
      <c r="W10">
        <f t="shared" si="3"/>
        <v>0</v>
      </c>
      <c r="X10">
        <f t="shared" si="4"/>
        <v>0</v>
      </c>
      <c r="Y10">
        <f t="shared" si="5"/>
        <v>0</v>
      </c>
    </row>
    <row r="11" spans="1:25" x14ac:dyDescent="0.3">
      <c r="A11" s="10">
        <f t="shared" si="6"/>
        <v>10</v>
      </c>
      <c r="B11" s="3">
        <f>Расчет!B14/COS(RADIANS(K11))</f>
        <v>0</v>
      </c>
      <c r="C11" s="3">
        <f>Расчет!C14</f>
        <v>0</v>
      </c>
      <c r="D11" s="6">
        <f>Расчет!D14</f>
        <v>0</v>
      </c>
      <c r="E11" s="9">
        <f>Расчет!E14</f>
        <v>1</v>
      </c>
      <c r="F11" s="81" t="s">
        <v>16</v>
      </c>
      <c r="G11" s="81"/>
      <c r="H11" s="82"/>
      <c r="I11" s="4">
        <f>Расчет!I14</f>
        <v>0</v>
      </c>
      <c r="J11" s="58"/>
      <c r="K11" s="21">
        <f>IF(Расчет!$B$55=1,D11,ATAN(0.01*D11)*180/3.14159265359)</f>
        <v>0</v>
      </c>
      <c r="L11">
        <f t="shared" si="0"/>
        <v>0</v>
      </c>
      <c r="P11">
        <f t="shared" si="7"/>
        <v>0</v>
      </c>
      <c r="Q11">
        <f t="shared" si="1"/>
        <v>0</v>
      </c>
      <c r="S11" s="80"/>
      <c r="U11">
        <f t="shared" si="2"/>
        <v>0</v>
      </c>
      <c r="V11">
        <f t="shared" si="9"/>
        <v>0</v>
      </c>
      <c r="W11">
        <f t="shared" si="3"/>
        <v>0</v>
      </c>
      <c r="X11">
        <f t="shared" si="4"/>
        <v>0</v>
      </c>
      <c r="Y11">
        <f t="shared" si="5"/>
        <v>0</v>
      </c>
    </row>
    <row r="12" spans="1:25" x14ac:dyDescent="0.3">
      <c r="A12" s="10">
        <f t="shared" si="6"/>
        <v>11</v>
      </c>
      <c r="B12" s="3">
        <f>Расчет!B15/COS(RADIANS(K12))</f>
        <v>0</v>
      </c>
      <c r="C12" s="3">
        <f>Расчет!C15</f>
        <v>0</v>
      </c>
      <c r="D12" s="6">
        <f>Расчет!D15</f>
        <v>0</v>
      </c>
      <c r="E12" s="9">
        <f>Расчет!E15</f>
        <v>1</v>
      </c>
      <c r="F12" s="83" t="s">
        <v>17</v>
      </c>
      <c r="G12" s="83"/>
      <c r="H12" s="84"/>
      <c r="I12" s="4">
        <f>Расчет!I15</f>
        <v>0</v>
      </c>
      <c r="J12" s="57">
        <f>Расчет!J15</f>
        <v>1</v>
      </c>
      <c r="K12" s="21">
        <f>IF(Расчет!$B$55=1,D12,ATAN(0.01*D12)*180/3.14159265359)</f>
        <v>0</v>
      </c>
      <c r="L12">
        <f t="shared" si="0"/>
        <v>0</v>
      </c>
      <c r="P12">
        <f t="shared" si="7"/>
        <v>0</v>
      </c>
      <c r="Q12">
        <f t="shared" si="1"/>
        <v>0</v>
      </c>
      <c r="S12" s="80">
        <f t="shared" ref="S12" si="13">MIN(I12,I13)*J12</f>
        <v>0</v>
      </c>
      <c r="U12">
        <f t="shared" si="2"/>
        <v>0</v>
      </c>
      <c r="V12">
        <f t="shared" si="9"/>
        <v>0</v>
      </c>
      <c r="W12">
        <f t="shared" si="3"/>
        <v>0</v>
      </c>
      <c r="X12">
        <f t="shared" si="4"/>
        <v>0</v>
      </c>
      <c r="Y12">
        <f t="shared" si="5"/>
        <v>0</v>
      </c>
    </row>
    <row r="13" spans="1:25" x14ac:dyDescent="0.3">
      <c r="A13" s="10">
        <f t="shared" si="6"/>
        <v>12</v>
      </c>
      <c r="B13" s="3">
        <f>Расчет!B16/COS(RADIANS(K13))</f>
        <v>0</v>
      </c>
      <c r="C13" s="3">
        <f>Расчет!C16</f>
        <v>0</v>
      </c>
      <c r="D13" s="6">
        <f>Расчет!D16</f>
        <v>0</v>
      </c>
      <c r="E13" s="9">
        <f>Расчет!E16</f>
        <v>1</v>
      </c>
      <c r="F13" s="85" t="s">
        <v>18</v>
      </c>
      <c r="G13" s="85"/>
      <c r="H13" s="86"/>
      <c r="I13" s="4">
        <f>Расчет!I16</f>
        <v>0</v>
      </c>
      <c r="J13" s="58"/>
      <c r="K13" s="21">
        <f>IF(Расчет!$B$55=1,D13,ATAN(0.01*D13)*180/3.14159265359)</f>
        <v>0</v>
      </c>
      <c r="L13">
        <f t="shared" si="0"/>
        <v>0</v>
      </c>
      <c r="P13">
        <f t="shared" si="7"/>
        <v>0</v>
      </c>
      <c r="Q13">
        <f t="shared" si="1"/>
        <v>0</v>
      </c>
      <c r="S13" s="80"/>
      <c r="U13">
        <f t="shared" si="2"/>
        <v>0</v>
      </c>
      <c r="V13">
        <f t="shared" si="9"/>
        <v>0</v>
      </c>
      <c r="W13">
        <f t="shared" si="3"/>
        <v>0</v>
      </c>
      <c r="X13">
        <f t="shared" si="4"/>
        <v>0</v>
      </c>
      <c r="Y13">
        <f t="shared" si="5"/>
        <v>0</v>
      </c>
    </row>
    <row r="14" spans="1:25" x14ac:dyDescent="0.3">
      <c r="A14" s="10">
        <f t="shared" si="6"/>
        <v>13</v>
      </c>
      <c r="B14" s="3">
        <f>Расчет!B17/COS(RADIANS(K14))</f>
        <v>0</v>
      </c>
      <c r="C14" s="3">
        <f>Расчет!C17</f>
        <v>0</v>
      </c>
      <c r="D14" s="6">
        <f>Расчет!D17</f>
        <v>0</v>
      </c>
      <c r="E14" s="9">
        <f>Расчет!E17</f>
        <v>1</v>
      </c>
      <c r="F14" s="78" t="s">
        <v>19</v>
      </c>
      <c r="G14" s="78"/>
      <c r="H14" s="79"/>
      <c r="I14" s="4">
        <f>Расчет!I17</f>
        <v>0</v>
      </c>
      <c r="J14" s="57">
        <f>Расчет!J17</f>
        <v>1</v>
      </c>
      <c r="K14" s="21">
        <f>IF(Расчет!$B$55=1,D14,ATAN(0.01*D14)*180/3.14159265359)</f>
        <v>0</v>
      </c>
      <c r="L14">
        <f t="shared" si="0"/>
        <v>0</v>
      </c>
      <c r="P14">
        <f t="shared" si="7"/>
        <v>0</v>
      </c>
      <c r="Q14">
        <f t="shared" si="1"/>
        <v>0</v>
      </c>
      <c r="S14" s="80">
        <f t="shared" ref="S14" si="14">MIN(I14,I15)*J14</f>
        <v>0</v>
      </c>
      <c r="U14">
        <f t="shared" si="2"/>
        <v>0</v>
      </c>
      <c r="V14">
        <f t="shared" si="9"/>
        <v>0</v>
      </c>
      <c r="W14">
        <f t="shared" si="3"/>
        <v>0</v>
      </c>
      <c r="X14">
        <f t="shared" si="4"/>
        <v>0</v>
      </c>
      <c r="Y14">
        <f t="shared" si="5"/>
        <v>0</v>
      </c>
    </row>
    <row r="15" spans="1:25" x14ac:dyDescent="0.3">
      <c r="A15" s="10">
        <f t="shared" si="6"/>
        <v>14</v>
      </c>
      <c r="B15" s="3">
        <f>Расчет!B18/COS(RADIANS(K15))</f>
        <v>0</v>
      </c>
      <c r="C15" s="3">
        <f>Расчет!C18</f>
        <v>0</v>
      </c>
      <c r="D15" s="6">
        <f>Расчет!D18</f>
        <v>0</v>
      </c>
      <c r="E15" s="9">
        <f>Расчет!E18</f>
        <v>1</v>
      </c>
      <c r="F15" s="81" t="s">
        <v>20</v>
      </c>
      <c r="G15" s="81"/>
      <c r="H15" s="82"/>
      <c r="I15" s="4">
        <f>Расчет!I18</f>
        <v>0</v>
      </c>
      <c r="J15" s="58"/>
      <c r="K15" s="21">
        <f>IF(Расчет!$B$55=1,D15,ATAN(0.01*D15)*180/3.14159265359)</f>
        <v>0</v>
      </c>
      <c r="L15">
        <f t="shared" si="0"/>
        <v>0</v>
      </c>
      <c r="P15">
        <f t="shared" si="7"/>
        <v>0</v>
      </c>
      <c r="Q15">
        <f t="shared" si="1"/>
        <v>0</v>
      </c>
      <c r="S15" s="80"/>
      <c r="U15">
        <f t="shared" si="2"/>
        <v>0</v>
      </c>
      <c r="V15">
        <f t="shared" si="9"/>
        <v>0</v>
      </c>
      <c r="W15">
        <f t="shared" si="3"/>
        <v>0</v>
      </c>
      <c r="X15">
        <f t="shared" si="4"/>
        <v>0</v>
      </c>
      <c r="Y15">
        <f t="shared" si="5"/>
        <v>0</v>
      </c>
    </row>
    <row r="16" spans="1:25" x14ac:dyDescent="0.3">
      <c r="A16" s="10">
        <f t="shared" si="6"/>
        <v>15</v>
      </c>
      <c r="B16" s="3">
        <f>Расчет!B19/COS(RADIANS(K16))</f>
        <v>0</v>
      </c>
      <c r="C16" s="3">
        <f>Расчет!C19</f>
        <v>0</v>
      </c>
      <c r="D16" s="6">
        <f>Расчет!D19</f>
        <v>0</v>
      </c>
      <c r="E16" s="9">
        <f>Расчет!E19</f>
        <v>1</v>
      </c>
      <c r="F16" s="83" t="s">
        <v>21</v>
      </c>
      <c r="G16" s="83"/>
      <c r="H16" s="84"/>
      <c r="I16" s="4">
        <f>Расчет!I19</f>
        <v>0</v>
      </c>
      <c r="J16" s="57">
        <f>Расчет!J19</f>
        <v>1</v>
      </c>
      <c r="K16" s="21">
        <f>IF(Расчет!$B$55=1,D16,ATAN(0.01*D16)*180/3.14159265359)</f>
        <v>0</v>
      </c>
      <c r="L16">
        <f t="shared" si="0"/>
        <v>0</v>
      </c>
      <c r="P16">
        <f t="shared" si="7"/>
        <v>0</v>
      </c>
      <c r="Q16">
        <f t="shared" si="1"/>
        <v>0</v>
      </c>
      <c r="S16" s="80">
        <f t="shared" ref="S16" si="15">MIN(I16,I17)*J16</f>
        <v>0</v>
      </c>
      <c r="U16">
        <f t="shared" si="2"/>
        <v>0</v>
      </c>
      <c r="V16">
        <f t="shared" si="9"/>
        <v>0</v>
      </c>
      <c r="W16">
        <f t="shared" si="3"/>
        <v>0</v>
      </c>
      <c r="X16">
        <f t="shared" si="4"/>
        <v>0</v>
      </c>
      <c r="Y16">
        <f t="shared" si="5"/>
        <v>0</v>
      </c>
    </row>
    <row r="17" spans="1:25" x14ac:dyDescent="0.3">
      <c r="A17" s="10">
        <f t="shared" si="6"/>
        <v>16</v>
      </c>
      <c r="B17" s="3">
        <f>Расчет!B20/COS(RADIANS(K17))</f>
        <v>0</v>
      </c>
      <c r="C17" s="3">
        <f>Расчет!C20</f>
        <v>0</v>
      </c>
      <c r="D17" s="6">
        <f>Расчет!D20</f>
        <v>0</v>
      </c>
      <c r="E17" s="9">
        <f>Расчет!E20</f>
        <v>1</v>
      </c>
      <c r="F17" s="85" t="s">
        <v>22</v>
      </c>
      <c r="G17" s="85"/>
      <c r="H17" s="86"/>
      <c r="I17" s="4">
        <f>Расчет!I20</f>
        <v>0</v>
      </c>
      <c r="J17" s="58"/>
      <c r="K17" s="21">
        <f>IF(Расчет!$B$55=1,D17,ATAN(0.01*D17)*180/3.14159265359)</f>
        <v>0</v>
      </c>
      <c r="L17">
        <f t="shared" si="0"/>
        <v>0</v>
      </c>
      <c r="P17">
        <f t="shared" si="7"/>
        <v>0</v>
      </c>
      <c r="Q17">
        <f t="shared" si="1"/>
        <v>0</v>
      </c>
      <c r="S17" s="80"/>
      <c r="U17">
        <f t="shared" si="2"/>
        <v>0</v>
      </c>
      <c r="V17">
        <f t="shared" si="9"/>
        <v>0</v>
      </c>
      <c r="W17">
        <f t="shared" si="3"/>
        <v>0</v>
      </c>
      <c r="X17">
        <f t="shared" si="4"/>
        <v>0</v>
      </c>
      <c r="Y17">
        <f t="shared" si="5"/>
        <v>0</v>
      </c>
    </row>
    <row r="18" spans="1:25" x14ac:dyDescent="0.3">
      <c r="A18" s="10">
        <f t="shared" si="6"/>
        <v>17</v>
      </c>
      <c r="B18" s="3">
        <f>Расчет!B21/COS(RADIANS(K18))</f>
        <v>0</v>
      </c>
      <c r="C18" s="3">
        <f>Расчет!C21</f>
        <v>0</v>
      </c>
      <c r="D18" s="6">
        <f>Расчет!D21</f>
        <v>0</v>
      </c>
      <c r="E18" s="9">
        <f>Расчет!E21</f>
        <v>1</v>
      </c>
      <c r="F18" s="78" t="s">
        <v>23</v>
      </c>
      <c r="G18" s="78"/>
      <c r="H18" s="79"/>
      <c r="I18" s="4">
        <f>Расчет!I21</f>
        <v>0</v>
      </c>
      <c r="J18" s="57">
        <f>Расчет!J21</f>
        <v>1</v>
      </c>
      <c r="K18" s="21">
        <f>IF(Расчет!$B$55=1,D18,ATAN(0.01*D18)*180/3.14159265359)</f>
        <v>0</v>
      </c>
      <c r="L18">
        <f t="shared" si="0"/>
        <v>0</v>
      </c>
      <c r="P18">
        <f t="shared" si="7"/>
        <v>0</v>
      </c>
      <c r="Q18">
        <f t="shared" si="1"/>
        <v>0</v>
      </c>
      <c r="S18" s="80">
        <f t="shared" ref="S18" si="16">MIN(I18,I19)*J18</f>
        <v>0</v>
      </c>
      <c r="U18">
        <f t="shared" si="2"/>
        <v>0</v>
      </c>
      <c r="V18">
        <f t="shared" si="9"/>
        <v>0</v>
      </c>
      <c r="W18">
        <f t="shared" si="3"/>
        <v>0</v>
      </c>
      <c r="X18">
        <f t="shared" si="4"/>
        <v>0</v>
      </c>
      <c r="Y18">
        <f t="shared" si="5"/>
        <v>0</v>
      </c>
    </row>
    <row r="19" spans="1:25" x14ac:dyDescent="0.3">
      <c r="A19" s="10">
        <f t="shared" si="6"/>
        <v>18</v>
      </c>
      <c r="B19" s="3">
        <f>Расчет!B22/COS(RADIANS(K19))</f>
        <v>0</v>
      </c>
      <c r="C19" s="3">
        <f>Расчет!C22</f>
        <v>0</v>
      </c>
      <c r="D19" s="6">
        <f>Расчет!D22</f>
        <v>0</v>
      </c>
      <c r="E19" s="9">
        <f>Расчет!E22</f>
        <v>1</v>
      </c>
      <c r="F19" s="81" t="s">
        <v>24</v>
      </c>
      <c r="G19" s="81"/>
      <c r="H19" s="82"/>
      <c r="I19" s="4">
        <f>Расчет!I22</f>
        <v>0</v>
      </c>
      <c r="J19" s="58"/>
      <c r="K19" s="21">
        <f>IF(Расчет!$B$55=1,D19,ATAN(0.01*D19)*180/3.14159265359)</f>
        <v>0</v>
      </c>
      <c r="L19">
        <f t="shared" si="0"/>
        <v>0</v>
      </c>
      <c r="P19">
        <f t="shared" si="7"/>
        <v>0</v>
      </c>
      <c r="Q19">
        <f t="shared" si="1"/>
        <v>0</v>
      </c>
      <c r="S19" s="80"/>
      <c r="U19">
        <f t="shared" si="2"/>
        <v>0</v>
      </c>
      <c r="V19">
        <f t="shared" si="9"/>
        <v>0</v>
      </c>
      <c r="W19">
        <f t="shared" si="3"/>
        <v>0</v>
      </c>
      <c r="X19">
        <f t="shared" si="4"/>
        <v>0</v>
      </c>
      <c r="Y19">
        <f t="shared" si="5"/>
        <v>0</v>
      </c>
    </row>
    <row r="20" spans="1:25" x14ac:dyDescent="0.3">
      <c r="A20" s="10">
        <f t="shared" si="6"/>
        <v>19</v>
      </c>
      <c r="B20" s="3">
        <f>Расчет!B23/COS(RADIANS(K20))</f>
        <v>0</v>
      </c>
      <c r="C20" s="3">
        <f>Расчет!C23</f>
        <v>0</v>
      </c>
      <c r="D20" s="6">
        <f>Расчет!D23</f>
        <v>0</v>
      </c>
      <c r="E20" s="9">
        <f>Расчет!E23</f>
        <v>1</v>
      </c>
      <c r="F20" s="83" t="s">
        <v>25</v>
      </c>
      <c r="G20" s="83"/>
      <c r="H20" s="84"/>
      <c r="I20" s="4">
        <f>Расчет!I23</f>
        <v>0</v>
      </c>
      <c r="J20" s="57">
        <f>Расчет!J23</f>
        <v>1</v>
      </c>
      <c r="K20" s="21">
        <f>IF(Расчет!$B$55=1,D20,ATAN(0.01*D20)*180/3.14159265359)</f>
        <v>0</v>
      </c>
      <c r="L20">
        <f t="shared" si="0"/>
        <v>0</v>
      </c>
      <c r="P20">
        <f t="shared" si="7"/>
        <v>0</v>
      </c>
      <c r="Q20">
        <f t="shared" si="1"/>
        <v>0</v>
      </c>
      <c r="S20" s="80">
        <f t="shared" ref="S20" si="17">MIN(I20,I21)*J20</f>
        <v>0</v>
      </c>
      <c r="U20">
        <f t="shared" si="2"/>
        <v>0</v>
      </c>
      <c r="V20">
        <f t="shared" si="9"/>
        <v>0</v>
      </c>
      <c r="W20">
        <f t="shared" si="3"/>
        <v>0</v>
      </c>
      <c r="X20">
        <f t="shared" si="4"/>
        <v>0</v>
      </c>
      <c r="Y20">
        <f t="shared" si="5"/>
        <v>0</v>
      </c>
    </row>
    <row r="21" spans="1:25" x14ac:dyDescent="0.3">
      <c r="A21" s="10">
        <f t="shared" si="6"/>
        <v>20</v>
      </c>
      <c r="B21" s="3">
        <f>Расчет!B24/COS(RADIANS(K21))</f>
        <v>0</v>
      </c>
      <c r="C21" s="3">
        <f>Расчет!C24</f>
        <v>0</v>
      </c>
      <c r="D21" s="6">
        <f>Расчет!D24</f>
        <v>0</v>
      </c>
      <c r="E21" s="9">
        <f>Расчет!E24</f>
        <v>1</v>
      </c>
      <c r="F21" s="85" t="s">
        <v>26</v>
      </c>
      <c r="G21" s="85"/>
      <c r="H21" s="86"/>
      <c r="I21" s="4">
        <f>Расчет!I24</f>
        <v>0</v>
      </c>
      <c r="J21" s="58"/>
      <c r="K21" s="21">
        <f>IF(Расчет!$B$55=1,D21,ATAN(0.01*D21)*180/3.14159265359)</f>
        <v>0</v>
      </c>
      <c r="L21">
        <f t="shared" si="0"/>
        <v>0</v>
      </c>
      <c r="P21">
        <f t="shared" si="7"/>
        <v>0</v>
      </c>
      <c r="Q21">
        <f t="shared" si="1"/>
        <v>0</v>
      </c>
      <c r="S21" s="80"/>
      <c r="U21">
        <f t="shared" si="2"/>
        <v>0</v>
      </c>
      <c r="V21">
        <f t="shared" si="9"/>
        <v>0</v>
      </c>
      <c r="W21">
        <f t="shared" si="3"/>
        <v>0</v>
      </c>
      <c r="X21">
        <f t="shared" si="4"/>
        <v>0</v>
      </c>
      <c r="Y21">
        <f t="shared" si="5"/>
        <v>0</v>
      </c>
    </row>
    <row r="22" spans="1:25" x14ac:dyDescent="0.3">
      <c r="A22" s="10">
        <f t="shared" si="6"/>
        <v>21</v>
      </c>
      <c r="B22" s="3">
        <f>Расчет!B25/COS(RADIANS(K22))</f>
        <v>0</v>
      </c>
      <c r="C22" s="3">
        <f>Расчет!C25</f>
        <v>0</v>
      </c>
      <c r="D22" s="6">
        <f>Расчет!D25</f>
        <v>0</v>
      </c>
      <c r="E22" s="9">
        <f>Расчет!E25</f>
        <v>1</v>
      </c>
      <c r="F22" s="78" t="s">
        <v>27</v>
      </c>
      <c r="G22" s="78"/>
      <c r="H22" s="79"/>
      <c r="I22" s="4">
        <f>Расчет!I25</f>
        <v>0</v>
      </c>
      <c r="J22" s="57">
        <f>Расчет!J25</f>
        <v>1</v>
      </c>
      <c r="K22" s="21">
        <f>IF(Расчет!$B$55=1,D22,ATAN(0.01*D22)*180/3.14159265359)</f>
        <v>0</v>
      </c>
      <c r="L22">
        <f t="shared" si="0"/>
        <v>0</v>
      </c>
      <c r="P22">
        <f t="shared" si="7"/>
        <v>0</v>
      </c>
      <c r="Q22">
        <f t="shared" si="1"/>
        <v>0</v>
      </c>
      <c r="S22" s="80">
        <f t="shared" ref="S22" si="18">MIN(I22,I23)*J22</f>
        <v>0</v>
      </c>
      <c r="U22">
        <f t="shared" si="2"/>
        <v>0</v>
      </c>
      <c r="V22">
        <f t="shared" si="9"/>
        <v>0</v>
      </c>
      <c r="W22">
        <f t="shared" si="3"/>
        <v>0</v>
      </c>
      <c r="X22">
        <f t="shared" si="4"/>
        <v>0</v>
      </c>
      <c r="Y22">
        <f t="shared" si="5"/>
        <v>0</v>
      </c>
    </row>
    <row r="23" spans="1:25" x14ac:dyDescent="0.3">
      <c r="A23" s="10">
        <f t="shared" si="6"/>
        <v>22</v>
      </c>
      <c r="B23" s="3">
        <f>Расчет!B26/COS(RADIANS(K23))</f>
        <v>0</v>
      </c>
      <c r="C23" s="3">
        <f>Расчет!C26</f>
        <v>0</v>
      </c>
      <c r="D23" s="6">
        <f>Расчет!D26</f>
        <v>0</v>
      </c>
      <c r="E23" s="9">
        <f>Расчет!E26</f>
        <v>1</v>
      </c>
      <c r="F23" s="81" t="s">
        <v>28</v>
      </c>
      <c r="G23" s="81"/>
      <c r="H23" s="82"/>
      <c r="I23" s="4">
        <f>Расчет!I26</f>
        <v>0</v>
      </c>
      <c r="J23" s="58"/>
      <c r="K23" s="21">
        <f>IF(Расчет!$B$55=1,D23,ATAN(0.01*D23)*180/3.14159265359)</f>
        <v>0</v>
      </c>
      <c r="L23">
        <f t="shared" si="0"/>
        <v>0</v>
      </c>
      <c r="P23">
        <f t="shared" si="7"/>
        <v>0</v>
      </c>
      <c r="Q23">
        <f t="shared" si="1"/>
        <v>0</v>
      </c>
      <c r="S23" s="80"/>
      <c r="U23">
        <f t="shared" si="2"/>
        <v>0</v>
      </c>
      <c r="V23">
        <f t="shared" si="9"/>
        <v>0</v>
      </c>
      <c r="W23">
        <f t="shared" si="3"/>
        <v>0</v>
      </c>
      <c r="X23">
        <f t="shared" si="4"/>
        <v>0</v>
      </c>
      <c r="Y23">
        <f t="shared" si="5"/>
        <v>0</v>
      </c>
    </row>
    <row r="24" spans="1:25" x14ac:dyDescent="0.3">
      <c r="A24" s="10">
        <f t="shared" si="6"/>
        <v>23</v>
      </c>
      <c r="B24" s="3">
        <f>Расчет!B27/COS(RADIANS(K24))</f>
        <v>0</v>
      </c>
      <c r="C24" s="3">
        <f>Расчет!C27</f>
        <v>0</v>
      </c>
      <c r="D24" s="6">
        <f>Расчет!D27</f>
        <v>0</v>
      </c>
      <c r="E24" s="9">
        <f>Расчет!E27</f>
        <v>1</v>
      </c>
      <c r="F24" s="83" t="s">
        <v>29</v>
      </c>
      <c r="G24" s="83"/>
      <c r="H24" s="84"/>
      <c r="I24" s="4">
        <f>Расчет!I27</f>
        <v>0</v>
      </c>
      <c r="J24" s="57">
        <f>Расчет!J27</f>
        <v>1</v>
      </c>
      <c r="K24" s="21">
        <f>IF(Расчет!$B$55=1,D24,ATAN(0.01*D24)*180/3.14159265359)</f>
        <v>0</v>
      </c>
      <c r="L24">
        <f t="shared" si="0"/>
        <v>0</v>
      </c>
      <c r="P24">
        <f t="shared" si="7"/>
        <v>0</v>
      </c>
      <c r="Q24">
        <f t="shared" si="1"/>
        <v>0</v>
      </c>
      <c r="S24" s="80">
        <f t="shared" ref="S24" si="19">MIN(I24,I25)*J24</f>
        <v>0</v>
      </c>
      <c r="U24">
        <f t="shared" si="2"/>
        <v>0</v>
      </c>
      <c r="V24">
        <f t="shared" si="9"/>
        <v>0</v>
      </c>
      <c r="W24">
        <f t="shared" si="3"/>
        <v>0</v>
      </c>
      <c r="X24">
        <f t="shared" si="4"/>
        <v>0</v>
      </c>
      <c r="Y24">
        <f t="shared" si="5"/>
        <v>0</v>
      </c>
    </row>
    <row r="25" spans="1:25" x14ac:dyDescent="0.3">
      <c r="A25" s="10">
        <f t="shared" si="6"/>
        <v>24</v>
      </c>
      <c r="B25" s="3">
        <f>Расчет!B28/COS(RADIANS(K25))</f>
        <v>0</v>
      </c>
      <c r="C25" s="3">
        <f>Расчет!C28</f>
        <v>0</v>
      </c>
      <c r="D25" s="6">
        <f>Расчет!D28</f>
        <v>0</v>
      </c>
      <c r="E25" s="9">
        <f>Расчет!E28</f>
        <v>1</v>
      </c>
      <c r="F25" s="85" t="s">
        <v>30</v>
      </c>
      <c r="G25" s="85"/>
      <c r="H25" s="86"/>
      <c r="I25" s="4">
        <f>Расчет!I28</f>
        <v>0</v>
      </c>
      <c r="J25" s="58"/>
      <c r="K25" s="21">
        <f>IF(Расчет!$B$55=1,D25,ATAN(0.01*D25)*180/3.14159265359)</f>
        <v>0</v>
      </c>
      <c r="L25">
        <f t="shared" si="0"/>
        <v>0</v>
      </c>
      <c r="P25">
        <f t="shared" si="7"/>
        <v>0</v>
      </c>
      <c r="Q25">
        <f t="shared" si="1"/>
        <v>0</v>
      </c>
      <c r="S25" s="80"/>
      <c r="U25">
        <f t="shared" si="2"/>
        <v>0</v>
      </c>
      <c r="V25">
        <f t="shared" si="9"/>
        <v>0</v>
      </c>
      <c r="W25">
        <f t="shared" si="3"/>
        <v>0</v>
      </c>
      <c r="X25">
        <f t="shared" si="4"/>
        <v>0</v>
      </c>
      <c r="Y25">
        <f t="shared" si="5"/>
        <v>0</v>
      </c>
    </row>
    <row r="26" spans="1:25" x14ac:dyDescent="0.3">
      <c r="A26" s="10">
        <f t="shared" si="6"/>
        <v>25</v>
      </c>
      <c r="B26" s="3">
        <f>Расчет!B29/COS(RADIANS(K26))</f>
        <v>0</v>
      </c>
      <c r="C26" s="3">
        <f>Расчет!C29</f>
        <v>0</v>
      </c>
      <c r="D26" s="6">
        <f>Расчет!D29</f>
        <v>0</v>
      </c>
      <c r="E26" s="9">
        <f>Расчет!E29</f>
        <v>1</v>
      </c>
      <c r="F26" s="78" t="s">
        <v>31</v>
      </c>
      <c r="G26" s="78"/>
      <c r="H26" s="79"/>
      <c r="I26" s="4">
        <f>Расчет!I29</f>
        <v>0</v>
      </c>
      <c r="J26" s="57">
        <f>Расчет!J29</f>
        <v>1</v>
      </c>
      <c r="K26" s="21">
        <f>IF(Расчет!$B$55=1,D26,ATAN(0.01*D26)*180/3.14159265359)</f>
        <v>0</v>
      </c>
      <c r="L26">
        <f t="shared" si="0"/>
        <v>0</v>
      </c>
      <c r="P26">
        <f t="shared" si="7"/>
        <v>0</v>
      </c>
      <c r="Q26">
        <f t="shared" si="1"/>
        <v>0</v>
      </c>
      <c r="S26" s="80">
        <f t="shared" ref="S26" si="20">MIN(I26,I27)*J26</f>
        <v>0</v>
      </c>
      <c r="U26">
        <f t="shared" si="2"/>
        <v>0</v>
      </c>
      <c r="V26">
        <f t="shared" si="9"/>
        <v>0</v>
      </c>
      <c r="W26">
        <f t="shared" si="3"/>
        <v>0</v>
      </c>
      <c r="X26">
        <f t="shared" si="4"/>
        <v>0</v>
      </c>
      <c r="Y26">
        <f t="shared" si="5"/>
        <v>0</v>
      </c>
    </row>
    <row r="27" spans="1:25" x14ac:dyDescent="0.3">
      <c r="A27" s="10">
        <f t="shared" si="6"/>
        <v>26</v>
      </c>
      <c r="B27" s="3">
        <f>Расчет!B30/COS(RADIANS(K27))</f>
        <v>0</v>
      </c>
      <c r="C27" s="3">
        <f>Расчет!C30</f>
        <v>0</v>
      </c>
      <c r="D27" s="6">
        <f>Расчет!D30</f>
        <v>0</v>
      </c>
      <c r="E27" s="9">
        <f>Расчет!E30</f>
        <v>1</v>
      </c>
      <c r="F27" s="81" t="s">
        <v>32</v>
      </c>
      <c r="G27" s="81"/>
      <c r="H27" s="82"/>
      <c r="I27" s="4">
        <f>Расчет!I30</f>
        <v>0</v>
      </c>
      <c r="J27" s="58"/>
      <c r="K27" s="21">
        <f>IF(Расчет!$B$55=1,D27,ATAN(0.01*D27)*180/3.14159265359)</f>
        <v>0</v>
      </c>
      <c r="L27">
        <f t="shared" si="0"/>
        <v>0</v>
      </c>
      <c r="P27">
        <f t="shared" si="7"/>
        <v>0</v>
      </c>
      <c r="Q27">
        <f t="shared" si="1"/>
        <v>0</v>
      </c>
      <c r="S27" s="80"/>
      <c r="U27">
        <f t="shared" si="2"/>
        <v>0</v>
      </c>
      <c r="V27">
        <f t="shared" si="9"/>
        <v>0</v>
      </c>
      <c r="W27">
        <f t="shared" si="3"/>
        <v>0</v>
      </c>
      <c r="X27">
        <f t="shared" si="4"/>
        <v>0</v>
      </c>
      <c r="Y27">
        <f t="shared" si="5"/>
        <v>0</v>
      </c>
    </row>
    <row r="28" spans="1:25" x14ac:dyDescent="0.3">
      <c r="L28">
        <f>SUM(L2:L27)</f>
        <v>27.58</v>
      </c>
      <c r="O28" s="17" t="s">
        <v>5</v>
      </c>
      <c r="P28" s="17">
        <f>2*SUM(P2:P27)</f>
        <v>19.2</v>
      </c>
      <c r="Q28" s="17">
        <f>2*SUM(Q2:Q27)</f>
        <v>19.3</v>
      </c>
      <c r="R28" s="17"/>
      <c r="S28" s="18">
        <f>SUM(S2:S27)</f>
        <v>0</v>
      </c>
      <c r="T28" s="17"/>
      <c r="U28" s="17">
        <f>SUM(U2:U27)</f>
        <v>0</v>
      </c>
      <c r="V28" s="17">
        <f>SUM(V2:V27)</f>
        <v>5.8</v>
      </c>
      <c r="W28" s="22">
        <f>SUM(W2:W27)</f>
        <v>5.8</v>
      </c>
      <c r="X28">
        <f t="shared" si="4"/>
        <v>0</v>
      </c>
      <c r="Y28">
        <f t="shared" si="5"/>
        <v>0</v>
      </c>
    </row>
    <row r="32" spans="1:25" ht="43.2" x14ac:dyDescent="0.3">
      <c r="I32" s="1" t="s">
        <v>48</v>
      </c>
      <c r="J32" s="5">
        <f>2*(I2+I3)*J2+2*(I4+I5)*J4+2*(I6+I7)*J6+2*(I8+I9)*J8+2*(I10+I11)*J10+2*(I12+I13)*J12+2*(I14+I15)*J14+2*(I16+I17)*J16+2*(I18+I19)*J18+(I20+I21)*J20+2*(I22+I23)*J22+2*(I24+I25)*J24+2*(I26+I27)*J26</f>
        <v>0</v>
      </c>
      <c r="M32" s="1" t="s">
        <v>52</v>
      </c>
      <c r="N32">
        <f>IF(Расчет!C56=1,0.3,IF(Расчет!C56=2,1,0))</f>
        <v>0</v>
      </c>
    </row>
    <row r="34" spans="10:11" x14ac:dyDescent="0.3">
      <c r="J34" s="22" t="s">
        <v>71</v>
      </c>
      <c r="K34" s="22"/>
    </row>
    <row r="35" spans="10:11" x14ac:dyDescent="0.3">
      <c r="J35" s="22" t="b">
        <v>0</v>
      </c>
      <c r="K35" s="22" t="s">
        <v>72</v>
      </c>
    </row>
    <row r="36" spans="10:11" x14ac:dyDescent="0.3">
      <c r="J36">
        <f>(P28-Q28*2)/2</f>
        <v>-9.7000000000000011</v>
      </c>
    </row>
  </sheetData>
  <mergeCells count="53">
    <mergeCell ref="F1:I1"/>
    <mergeCell ref="F2:H2"/>
    <mergeCell ref="J2:J3"/>
    <mergeCell ref="F3:H3"/>
    <mergeCell ref="F4:H4"/>
    <mergeCell ref="J4:J5"/>
    <mergeCell ref="F5:H5"/>
    <mergeCell ref="F22:H22"/>
    <mergeCell ref="J22:J23"/>
    <mergeCell ref="F23:H23"/>
    <mergeCell ref="J12:J13"/>
    <mergeCell ref="F13:H13"/>
    <mergeCell ref="F14:H14"/>
    <mergeCell ref="J14:J15"/>
    <mergeCell ref="F15:H15"/>
    <mergeCell ref="F16:H16"/>
    <mergeCell ref="J16:J17"/>
    <mergeCell ref="F17:H17"/>
    <mergeCell ref="F18:H18"/>
    <mergeCell ref="F12:H12"/>
    <mergeCell ref="J18:J19"/>
    <mergeCell ref="F19:H19"/>
    <mergeCell ref="F20:H20"/>
    <mergeCell ref="J20:J21"/>
    <mergeCell ref="F21:H21"/>
    <mergeCell ref="S2:S3"/>
    <mergeCell ref="S4:S5"/>
    <mergeCell ref="S6:S7"/>
    <mergeCell ref="S8:S9"/>
    <mergeCell ref="S10:S11"/>
    <mergeCell ref="F10:H10"/>
    <mergeCell ref="J10:J11"/>
    <mergeCell ref="F11:H11"/>
    <mergeCell ref="F6:H6"/>
    <mergeCell ref="J6:J7"/>
    <mergeCell ref="F7:H7"/>
    <mergeCell ref="F8:H8"/>
    <mergeCell ref="J8:J9"/>
    <mergeCell ref="F9:H9"/>
    <mergeCell ref="J24:J25"/>
    <mergeCell ref="F25:H25"/>
    <mergeCell ref="F26:H26"/>
    <mergeCell ref="J26:J27"/>
    <mergeCell ref="F27:H27"/>
    <mergeCell ref="F24:H24"/>
    <mergeCell ref="S24:S25"/>
    <mergeCell ref="S26:S27"/>
    <mergeCell ref="S12:S13"/>
    <mergeCell ref="S14:S15"/>
    <mergeCell ref="S16:S17"/>
    <mergeCell ref="S18:S19"/>
    <mergeCell ref="S20:S21"/>
    <mergeCell ref="S22:S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1"/>
  <dimension ref="B3:N9"/>
  <sheetViews>
    <sheetView workbookViewId="0">
      <selection activeCell="F7" sqref="F7"/>
    </sheetView>
  </sheetViews>
  <sheetFormatPr defaultRowHeight="14.4" x14ac:dyDescent="0.3"/>
  <cols>
    <col min="5" max="5" width="16.44140625" customWidth="1"/>
    <col min="9" max="9" width="30.44140625" customWidth="1"/>
  </cols>
  <sheetData>
    <row r="3" spans="2:14" x14ac:dyDescent="0.3">
      <c r="N3" t="s">
        <v>77</v>
      </c>
    </row>
    <row r="4" spans="2:14" x14ac:dyDescent="0.3">
      <c r="B4" s="90" t="s">
        <v>81</v>
      </c>
      <c r="C4" s="90"/>
      <c r="D4" s="90"/>
      <c r="E4" s="90"/>
      <c r="F4" s="2">
        <f>CEILING((Программа!O2/0.915*Программа!N32),1)</f>
        <v>0</v>
      </c>
    </row>
    <row r="5" spans="2:14" x14ac:dyDescent="0.3">
      <c r="B5" s="91" t="s">
        <v>82</v>
      </c>
      <c r="C5" s="92"/>
      <c r="D5" s="92"/>
      <c r="E5" s="93"/>
      <c r="F5" s="2">
        <f>CEILING((Программа!O2/0.915*(1-Программа!N32)),1)</f>
        <v>34</v>
      </c>
      <c r="I5" s="20" t="s">
        <v>64</v>
      </c>
    </row>
    <row r="6" spans="2:14" x14ac:dyDescent="0.3">
      <c r="B6" s="90" t="s">
        <v>79</v>
      </c>
      <c r="C6" s="90"/>
      <c r="D6" s="90"/>
      <c r="E6" s="90"/>
      <c r="F6" s="2">
        <f>CEILING(Программа!R2/3*1.05,1)</f>
        <v>14</v>
      </c>
    </row>
    <row r="7" spans="2:14" x14ac:dyDescent="0.3">
      <c r="B7" s="90" t="s">
        <v>80</v>
      </c>
      <c r="C7" s="90"/>
      <c r="D7" s="90"/>
      <c r="E7" s="90"/>
      <c r="F7" s="2">
        <f>ROUNDUP(((Программа!S28+Программа!U28)*1.05/3),0)</f>
        <v>0</v>
      </c>
    </row>
    <row r="9" spans="2:14" x14ac:dyDescent="0.3">
      <c r="B9" s="80" t="s">
        <v>83</v>
      </c>
      <c r="C9" s="80"/>
      <c r="D9" s="80"/>
      <c r="E9" s="80"/>
      <c r="F9" s="80"/>
    </row>
  </sheetData>
  <mergeCells count="5">
    <mergeCell ref="B4:E4"/>
    <mergeCell ref="B5:E5"/>
    <mergeCell ref="B6:E6"/>
    <mergeCell ref="B7:E7"/>
    <mergeCell ref="B9:F9"/>
  </mergeCells>
  <hyperlinks>
    <hyperlink ref="I5" location="Расчет!A1" display="Назад в исходные данные" xr:uid="{00000000-0004-0000-0200-000000000000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2"/>
  <dimension ref="B4:I9"/>
  <sheetViews>
    <sheetView workbookViewId="0">
      <selection activeCell="E18" sqref="E18"/>
    </sheetView>
  </sheetViews>
  <sheetFormatPr defaultRowHeight="14.4" x14ac:dyDescent="0.3"/>
  <cols>
    <col min="5" max="5" width="14.6640625" customWidth="1"/>
    <col min="9" max="9" width="25.5546875" customWidth="1"/>
  </cols>
  <sheetData>
    <row r="4" spans="2:9" x14ac:dyDescent="0.3">
      <c r="B4" s="90" t="s">
        <v>3</v>
      </c>
      <c r="C4" s="90"/>
      <c r="D4" s="90"/>
      <c r="E4" s="90"/>
      <c r="F4" s="2">
        <f>CEILING((Программа!O2/0.7*Программа!N32),1)</f>
        <v>0</v>
      </c>
    </row>
    <row r="5" spans="2:9" x14ac:dyDescent="0.3">
      <c r="B5" s="90" t="s">
        <v>4</v>
      </c>
      <c r="C5" s="90"/>
      <c r="D5" s="90"/>
      <c r="E5" s="90"/>
      <c r="F5" s="2">
        <f>CEILING((Программа!O2/0.7*(1-Программа!N32)),1)</f>
        <v>44</v>
      </c>
      <c r="I5" s="20" t="s">
        <v>64</v>
      </c>
    </row>
    <row r="6" spans="2:9" x14ac:dyDescent="0.3">
      <c r="B6" s="90" t="s">
        <v>2</v>
      </c>
      <c r="C6" s="90"/>
      <c r="D6" s="90"/>
      <c r="E6" s="90"/>
      <c r="F6" s="2">
        <f>CEILING(Программа!R2*1.05/3.66,1)</f>
        <v>12</v>
      </c>
    </row>
    <row r="7" spans="2:9" x14ac:dyDescent="0.3">
      <c r="B7" s="90" t="s">
        <v>1</v>
      </c>
      <c r="C7" s="90"/>
      <c r="D7" s="90"/>
      <c r="E7" s="90"/>
      <c r="F7" s="2">
        <f>ROUNDUP(((Программа!S28+Программа!V28)*1.05/3.8),0)</f>
        <v>2</v>
      </c>
    </row>
    <row r="9" spans="2:9" x14ac:dyDescent="0.3">
      <c r="B9" s="94" t="s">
        <v>53</v>
      </c>
      <c r="C9" s="94"/>
      <c r="D9" s="94"/>
      <c r="E9" s="94"/>
      <c r="F9" s="94"/>
    </row>
  </sheetData>
  <mergeCells count="5">
    <mergeCell ref="B4:E4"/>
    <mergeCell ref="B5:E5"/>
    <mergeCell ref="B6:E6"/>
    <mergeCell ref="B7:E7"/>
    <mergeCell ref="B9:F9"/>
  </mergeCells>
  <hyperlinks>
    <hyperlink ref="I5" location="Расчет!A1" display="Назад в исходные данные" xr:uid="{00000000-0004-0000-0300-000000000000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Аркуш3"/>
  <dimension ref="B1:I23"/>
  <sheetViews>
    <sheetView workbookViewId="0">
      <selection activeCell="F8" sqref="F8"/>
    </sheetView>
  </sheetViews>
  <sheetFormatPr defaultRowHeight="14.4" x14ac:dyDescent="0.3"/>
  <cols>
    <col min="5" max="5" width="13.5546875" customWidth="1"/>
    <col min="9" max="9" width="30.44140625" customWidth="1"/>
  </cols>
  <sheetData>
    <row r="1" spans="2:9" x14ac:dyDescent="0.3">
      <c r="B1" s="95" t="s">
        <v>68</v>
      </c>
      <c r="C1" s="96"/>
      <c r="D1" s="96"/>
      <c r="E1" s="96"/>
      <c r="F1" s="97"/>
    </row>
    <row r="5" spans="2:9" x14ac:dyDescent="0.3">
      <c r="B5" s="90" t="s">
        <v>66</v>
      </c>
      <c r="C5" s="90"/>
      <c r="D5" s="90"/>
      <c r="E5" s="90"/>
      <c r="F5" s="2">
        <f>CEILING((Программа!O2/0.9*Программа!N32),1)</f>
        <v>0</v>
      </c>
    </row>
    <row r="6" spans="2:9" x14ac:dyDescent="0.3">
      <c r="B6" s="91" t="s">
        <v>67</v>
      </c>
      <c r="C6" s="92"/>
      <c r="D6" s="92"/>
      <c r="E6" s="93"/>
      <c r="F6" s="2">
        <f>CEILING((Программа!O2/0.9*(1-Программа!N32)),1)</f>
        <v>34</v>
      </c>
      <c r="I6" s="20" t="s">
        <v>64</v>
      </c>
    </row>
    <row r="7" spans="2:9" x14ac:dyDescent="0.3">
      <c r="B7" s="90" t="s">
        <v>0</v>
      </c>
      <c r="C7" s="90"/>
      <c r="D7" s="90"/>
      <c r="E7" s="90"/>
      <c r="F7" s="2">
        <f>CEILING(Программа!R2/3.05*1.05,1)</f>
        <v>14</v>
      </c>
    </row>
    <row r="8" spans="2:9" x14ac:dyDescent="0.3">
      <c r="B8" s="90" t="s">
        <v>1</v>
      </c>
      <c r="C8" s="90"/>
      <c r="D8" s="90"/>
      <c r="E8" s="90"/>
      <c r="F8" s="2">
        <f>ROUNDUP(((Программа!S28+Программа!W28)*1.05/3.05),0)</f>
        <v>2</v>
      </c>
    </row>
    <row r="10" spans="2:9" x14ac:dyDescent="0.3">
      <c r="B10" s="80" t="s">
        <v>53</v>
      </c>
      <c r="C10" s="80"/>
      <c r="D10" s="80"/>
      <c r="E10" s="80"/>
      <c r="F10" s="80"/>
    </row>
    <row r="14" spans="2:9" x14ac:dyDescent="0.3">
      <c r="B14" s="95" t="s">
        <v>69</v>
      </c>
      <c r="C14" s="96"/>
      <c r="D14" s="96"/>
      <c r="E14" s="96"/>
      <c r="F14" s="97"/>
    </row>
    <row r="18" spans="2:6" x14ac:dyDescent="0.3">
      <c r="B18" s="90" t="s">
        <v>66</v>
      </c>
      <c r="C18" s="90"/>
      <c r="D18" s="90"/>
      <c r="E18" s="90"/>
      <c r="F18" s="2">
        <f>CEILING((Программа!O2/0.81*Программа!N32),1)</f>
        <v>0</v>
      </c>
    </row>
    <row r="19" spans="2:6" x14ac:dyDescent="0.3">
      <c r="B19" s="91" t="s">
        <v>67</v>
      </c>
      <c r="C19" s="92"/>
      <c r="D19" s="92"/>
      <c r="E19" s="93"/>
      <c r="F19" s="2">
        <f>CEILING((Программа!O2/0.81*(1-Программа!N32)),1)</f>
        <v>38</v>
      </c>
    </row>
    <row r="20" spans="2:6" x14ac:dyDescent="0.3">
      <c r="B20" s="90" t="s">
        <v>0</v>
      </c>
      <c r="C20" s="90"/>
      <c r="D20" s="90"/>
      <c r="E20" s="90"/>
      <c r="F20" s="2">
        <f>F7</f>
        <v>14</v>
      </c>
    </row>
    <row r="21" spans="2:6" x14ac:dyDescent="0.3">
      <c r="B21" s="90" t="s">
        <v>1</v>
      </c>
      <c r="C21" s="90"/>
      <c r="D21" s="90"/>
      <c r="E21" s="90"/>
      <c r="F21" s="2">
        <f>F8</f>
        <v>2</v>
      </c>
    </row>
    <row r="23" spans="2:6" x14ac:dyDescent="0.3">
      <c r="B23" s="80" t="s">
        <v>53</v>
      </c>
      <c r="C23" s="80"/>
      <c r="D23" s="80"/>
      <c r="E23" s="80"/>
      <c r="F23" s="80"/>
    </row>
  </sheetData>
  <mergeCells count="12">
    <mergeCell ref="B1:F1"/>
    <mergeCell ref="B14:F14"/>
    <mergeCell ref="B18:E18"/>
    <mergeCell ref="B19:E19"/>
    <mergeCell ref="B20:E20"/>
    <mergeCell ref="B21:E21"/>
    <mergeCell ref="B23:F23"/>
    <mergeCell ref="B5:E5"/>
    <mergeCell ref="B6:E6"/>
    <mergeCell ref="B7:E7"/>
    <mergeCell ref="B8:E8"/>
    <mergeCell ref="B10:F10"/>
  </mergeCells>
  <hyperlinks>
    <hyperlink ref="I6" location="Расчет!A1" display="Назад в исходные данные" xr:uid="{00000000-0004-0000-0400-000000000000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Аркуш4"/>
  <dimension ref="B2:I25"/>
  <sheetViews>
    <sheetView workbookViewId="0">
      <selection activeCell="I21" sqref="I21"/>
    </sheetView>
  </sheetViews>
  <sheetFormatPr defaultRowHeight="14.4" x14ac:dyDescent="0.3"/>
  <cols>
    <col min="5" max="5" width="34.21875" customWidth="1"/>
    <col min="9" max="9" width="30.44140625" customWidth="1"/>
  </cols>
  <sheetData>
    <row r="2" spans="2:9" x14ac:dyDescent="0.3">
      <c r="B2" s="99" t="s">
        <v>139</v>
      </c>
      <c r="C2" s="99"/>
      <c r="D2" s="99"/>
      <c r="E2" s="99"/>
      <c r="F2" s="99"/>
    </row>
    <row r="3" spans="2:9" x14ac:dyDescent="0.3">
      <c r="B3" s="90" t="s">
        <v>136</v>
      </c>
      <c r="C3" s="90"/>
      <c r="D3" s="90"/>
      <c r="E3" s="90"/>
      <c r="F3" s="2" t="s">
        <v>137</v>
      </c>
    </row>
    <row r="4" spans="2:9" x14ac:dyDescent="0.3">
      <c r="B4" s="90" t="str">
        <f>пересчет!A60</f>
        <v>Панель ASKO NEO перфорована, без перфорації, 3х0,305 = 0,915 м2</v>
      </c>
      <c r="C4" s="90"/>
      <c r="D4" s="90"/>
      <c r="E4" s="90"/>
      <c r="F4" s="2">
        <f>ROUNDUP((пересчет!AE39+Расчет!L3)/пересчет!B6,0)</f>
        <v>34</v>
      </c>
      <c r="I4" s="20" t="s">
        <v>64</v>
      </c>
    </row>
    <row r="5" spans="2:9" x14ac:dyDescent="0.3">
      <c r="B5" s="90" t="s">
        <v>0</v>
      </c>
      <c r="C5" s="90"/>
      <c r="D5" s="90"/>
      <c r="E5" s="90"/>
      <c r="F5" s="2">
        <f>ROUNDUP((пересчет!AO12+Расчет!L2)/пересчет!F6,0)</f>
        <v>15</v>
      </c>
    </row>
    <row r="6" spans="2:9" x14ac:dyDescent="0.3">
      <c r="B6" s="90" t="s">
        <v>1</v>
      </c>
      <c r="C6" s="90"/>
      <c r="D6" s="90"/>
      <c r="E6" s="90"/>
      <c r="F6" s="2">
        <f>ROUNDUP((пересчет!AG39+Расчет!L1)/пересчет!H6,0)</f>
        <v>5</v>
      </c>
    </row>
    <row r="9" spans="2:9" x14ac:dyDescent="0.3">
      <c r="B9" s="99" t="s">
        <v>140</v>
      </c>
      <c r="C9" s="99"/>
      <c r="D9" s="99"/>
      <c r="E9" s="99"/>
      <c r="F9" s="99"/>
    </row>
    <row r="10" spans="2:9" x14ac:dyDescent="0.3">
      <c r="B10" s="90" t="s">
        <v>136</v>
      </c>
      <c r="C10" s="90"/>
      <c r="D10" s="90"/>
      <c r="E10" s="90"/>
      <c r="F10" s="2" t="s">
        <v>137</v>
      </c>
    </row>
    <row r="11" spans="2:9" x14ac:dyDescent="0.3">
      <c r="B11" s="90" t="str">
        <f>пересчет!A60</f>
        <v>Панель ASKO NEO перфорована, без перфорації, 3х0,305 = 0,915 м2</v>
      </c>
      <c r="C11" s="90"/>
      <c r="D11" s="90"/>
      <c r="E11" s="90"/>
      <c r="F11" s="2">
        <f>ROUNDUP((пересчет!AH38+Расчет!L3)/пересчет!B6,0)</f>
        <v>37</v>
      </c>
    </row>
    <row r="12" spans="2:9" x14ac:dyDescent="0.3">
      <c r="B12" s="90" t="s">
        <v>0</v>
      </c>
      <c r="C12" s="90"/>
      <c r="D12" s="90"/>
      <c r="E12" s="90"/>
      <c r="F12" s="2">
        <f>ROUNDUP((пересчет!AO12+Расчет!L2)/пересчет!F6,0)</f>
        <v>15</v>
      </c>
    </row>
    <row r="13" spans="2:9" x14ac:dyDescent="0.3">
      <c r="B13" s="90" t="s">
        <v>1</v>
      </c>
      <c r="C13" s="90"/>
      <c r="D13" s="90"/>
      <c r="E13" s="90"/>
      <c r="F13" s="2">
        <f>ROUNDUP((пересчет!AH39+Расчет!L1)/пересчет!H6,0)</f>
        <v>4</v>
      </c>
    </row>
    <row r="16" spans="2:9" x14ac:dyDescent="0.3">
      <c r="B16" s="99" t="s">
        <v>141</v>
      </c>
      <c r="C16" s="99"/>
      <c r="D16" s="99"/>
      <c r="E16" s="99"/>
      <c r="F16" s="99"/>
    </row>
    <row r="17" spans="2:6" x14ac:dyDescent="0.3">
      <c r="B17" s="90" t="s">
        <v>136</v>
      </c>
      <c r="C17" s="90"/>
      <c r="D17" s="90"/>
      <c r="E17" s="90"/>
      <c r="F17" s="2" t="s">
        <v>137</v>
      </c>
    </row>
    <row r="18" spans="2:6" x14ac:dyDescent="0.3">
      <c r="B18" s="90" t="str">
        <f>пересчет!A60</f>
        <v>Панель ASKO NEO перфорована, без перфорації, 3х0,305 = 0,915 м2</v>
      </c>
      <c r="C18" s="90"/>
      <c r="D18" s="90"/>
      <c r="E18" s="90"/>
      <c r="F18" s="2">
        <f>ROUNDUP((пересчет!AL12+Расчет!L3)/пересчет!B6,0)</f>
        <v>34</v>
      </c>
    </row>
    <row r="19" spans="2:6" x14ac:dyDescent="0.3">
      <c r="B19" s="90" t="s">
        <v>0</v>
      </c>
      <c r="C19" s="90"/>
      <c r="D19" s="90"/>
      <c r="E19" s="90"/>
      <c r="F19" s="2">
        <f>ROUNDUP((пересчет!AO12+Расчет!L2)/пересчет!F6,0)</f>
        <v>15</v>
      </c>
    </row>
    <row r="20" spans="2:6" x14ac:dyDescent="0.3">
      <c r="B20" s="90" t="s">
        <v>1</v>
      </c>
      <c r="C20" s="90"/>
      <c r="D20" s="90"/>
      <c r="E20" s="90"/>
      <c r="F20" s="2">
        <f>ROUNDUP((пересчет!AH39+Расчет!L1)/пересчет!H6,0)</f>
        <v>4</v>
      </c>
    </row>
    <row r="23" spans="2:6" x14ac:dyDescent="0.3">
      <c r="B23" s="98" t="s">
        <v>142</v>
      </c>
      <c r="C23" s="98"/>
      <c r="D23" s="98"/>
      <c r="E23" s="98"/>
      <c r="F23" s="98"/>
    </row>
    <row r="24" spans="2:6" x14ac:dyDescent="0.3">
      <c r="B24" s="98"/>
      <c r="C24" s="98"/>
      <c r="D24" s="98"/>
      <c r="E24" s="98"/>
      <c r="F24" s="98"/>
    </row>
    <row r="25" spans="2:6" x14ac:dyDescent="0.3">
      <c r="B25" s="98"/>
      <c r="C25" s="98"/>
      <c r="D25" s="98"/>
      <c r="E25" s="98"/>
      <c r="F25" s="98"/>
    </row>
  </sheetData>
  <mergeCells count="16">
    <mergeCell ref="B2:F2"/>
    <mergeCell ref="B9:F9"/>
    <mergeCell ref="B10:E10"/>
    <mergeCell ref="B11:E11"/>
    <mergeCell ref="B12:E12"/>
    <mergeCell ref="B4:E4"/>
    <mergeCell ref="B5:E5"/>
    <mergeCell ref="B6:E6"/>
    <mergeCell ref="B3:E3"/>
    <mergeCell ref="B20:E20"/>
    <mergeCell ref="B23:F25"/>
    <mergeCell ref="B13:E13"/>
    <mergeCell ref="B16:F16"/>
    <mergeCell ref="B17:E17"/>
    <mergeCell ref="B18:E18"/>
    <mergeCell ref="B19:E19"/>
  </mergeCells>
  <hyperlinks>
    <hyperlink ref="I4" location="Расчет!A1" display="Назад в исходные данные" xr:uid="{00000000-0004-0000-05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841B1-8CE2-46EB-8EC6-BDB1DE81370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Аркуш5"/>
  <dimension ref="A1:A7"/>
  <sheetViews>
    <sheetView workbookViewId="0">
      <selection activeCell="M10" sqref="M10"/>
    </sheetView>
  </sheetViews>
  <sheetFormatPr defaultRowHeight="14.4" x14ac:dyDescent="0.3"/>
  <cols>
    <col min="1" max="1" width="51.33203125" customWidth="1"/>
    <col min="2" max="2" width="14.33203125" customWidth="1"/>
  </cols>
  <sheetData>
    <row r="1" spans="1:1" x14ac:dyDescent="0.3">
      <c r="A1" t="s">
        <v>57</v>
      </c>
    </row>
    <row r="2" spans="1:1" x14ac:dyDescent="0.3">
      <c r="A2" t="s">
        <v>58</v>
      </c>
    </row>
    <row r="3" spans="1:1" ht="28.8" x14ac:dyDescent="0.3">
      <c r="A3" s="1" t="s">
        <v>59</v>
      </c>
    </row>
    <row r="4" spans="1:1" ht="28.8" x14ac:dyDescent="0.3">
      <c r="A4" s="1" t="s">
        <v>60</v>
      </c>
    </row>
    <row r="5" spans="1:1" ht="28.8" x14ac:dyDescent="0.3">
      <c r="A5" s="1" t="s">
        <v>61</v>
      </c>
    </row>
    <row r="6" spans="1:1" ht="28.8" x14ac:dyDescent="0.3">
      <c r="A6" s="1" t="s">
        <v>62</v>
      </c>
    </row>
    <row r="7" spans="1:1" x14ac:dyDescent="0.3">
      <c r="A7" s="1" t="s">
        <v>63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9</vt:i4>
      </vt:variant>
    </vt:vector>
  </HeadingPairs>
  <TitlesOfParts>
    <vt:vector size="9" baseType="lpstr">
      <vt:lpstr>Расчет</vt:lpstr>
      <vt:lpstr>пересчет</vt:lpstr>
      <vt:lpstr>Программа</vt:lpstr>
      <vt:lpstr>ТМ Asko</vt:lpstr>
      <vt:lpstr>ТМ Соффит</vt:lpstr>
      <vt:lpstr>ТМ айДахо</vt:lpstr>
      <vt:lpstr>мінімальний запас </vt:lpstr>
      <vt:lpstr>Аркуш2</vt:lpstr>
      <vt:lpstr>Как включить макрос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Журило</dc:creator>
  <cp:lastModifiedBy>Дарья Журило</cp:lastModifiedBy>
  <dcterms:created xsi:type="dcterms:W3CDTF">2015-01-15T09:12:19Z</dcterms:created>
  <dcterms:modified xsi:type="dcterms:W3CDTF">2025-04-15T09:05:25Z</dcterms:modified>
</cp:coreProperties>
</file>