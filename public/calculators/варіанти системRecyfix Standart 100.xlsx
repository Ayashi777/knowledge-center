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zhurilo\Desktop\КАЛЬК\"/>
    </mc:Choice>
  </mc:AlternateContent>
  <xr:revisionPtr revIDLastSave="0" documentId="13_ncr:1_{F24B7C2C-99D1-4A57-96D0-1CAC16E04330}" xr6:coauthVersionLast="47" xr6:coauthVersionMax="47" xr10:uidLastSave="{00000000-0000-0000-0000-000000000000}"/>
  <bookViews>
    <workbookView xWindow="-108" yWindow="-108" windowWidth="23256" windowHeight="12456" tabRatio="663" firstSheet="2" activeTab="6" xr2:uid="{00000000-000D-0000-FFFF-FFFF00000000}"/>
  </bookViews>
  <sheets>
    <sheet name="Лист1" sheetId="1" state="hidden" r:id="rId1"/>
    <sheet name="тип 60 оцинк" sheetId="9" r:id="rId2"/>
    <sheet name="тип 60 чавун" sheetId="10" r:id="rId3"/>
    <sheet name="тип 80 оцинк" sheetId="6" r:id="rId4"/>
    <sheet name="тип 80 чавун" sheetId="7" r:id="rId5"/>
    <sheet name="тип 01 оцинк" sheetId="5" r:id="rId6"/>
    <sheet name="тип 01 чавун" sheetId="8" r:id="rId7"/>
    <sheet name="тип 010 оцинк" sheetId="11" r:id="rId8"/>
    <sheet name="тип 010 чавун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2" l="1"/>
  <c r="D11" i="12"/>
  <c r="D8" i="12"/>
  <c r="D9" i="12" s="1"/>
  <c r="D12" i="11"/>
  <c r="D9" i="11"/>
  <c r="D10" i="11" s="1"/>
  <c r="D8" i="11"/>
  <c r="D7" i="11"/>
  <c r="D7" i="10" l="1"/>
  <c r="D8" i="10" s="1"/>
  <c r="D7" i="8"/>
  <c r="D9" i="8" s="1"/>
  <c r="D11" i="8"/>
  <c r="D9" i="5"/>
  <c r="D10" i="5" s="1"/>
  <c r="D8" i="5"/>
  <c r="D7" i="5"/>
  <c r="D12" i="5"/>
  <c r="D7" i="7"/>
  <c r="D9" i="7" s="1"/>
  <c r="D11" i="7"/>
  <c r="D12" i="6"/>
  <c r="D9" i="6"/>
  <c r="D10" i="6" s="1"/>
  <c r="D8" i="6"/>
  <c r="D7" i="6"/>
  <c r="D11" i="10"/>
  <c r="D12" i="9"/>
  <c r="D8" i="9"/>
  <c r="D7" i="9"/>
  <c r="D8" i="8" l="1"/>
  <c r="D8" i="7"/>
  <c r="D9" i="9"/>
  <c r="D10" i="9" s="1"/>
  <c r="D9" i="10"/>
  <c r="E25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<sst xmlns="http://schemas.openxmlformats.org/spreadsheetml/2006/main" count="118" uniqueCount="57">
  <si>
    <t>артикул</t>
  </si>
  <si>
    <t>найменование</t>
  </si>
  <si>
    <t>количество</t>
  </si>
  <si>
    <t>жолоб FASERFIX®SUPER 150 с уклоном 0.5 % тип 19</t>
  </si>
  <si>
    <t>жолоб FASERFIX®SUPER 150 с уклоном 0.5 % тип 18</t>
  </si>
  <si>
    <t>жолоб FASERFIX®SUPER 150 с уклоном 0.5 % тип 17</t>
  </si>
  <si>
    <t>жолоб FASERFIX®SUPER 150 с уклоном 0.5 % тип 16</t>
  </si>
  <si>
    <t>жолоб FASERFIX®SUPER 150 с уклоном 0.5 % тип 15</t>
  </si>
  <si>
    <t>жолоб FASERFIX®SUPER 150 с уклоном 0.5 % тип 14</t>
  </si>
  <si>
    <t>жолоб FASERFIX®SUPER 150 с уклоном 0.5 % тип 13</t>
  </si>
  <si>
    <t>жолоб FASERFIX®SUPER 150 с уклоном 0.5 % тип 12</t>
  </si>
  <si>
    <t>жолоб FASERFIX®SUPER 150 с уклоном 0.5 % тип 11</t>
  </si>
  <si>
    <t>жолоб FASERFIX®SUPER 150 с уклоном 0.5 % тип 10</t>
  </si>
  <si>
    <t>жолоб FASERFIX®SUPER 150 с уклоном 0.5 % тип 9</t>
  </si>
  <si>
    <t>жолоб FASERFIX®SUPER 150 с уклоном 0.5 % тип 8</t>
  </si>
  <si>
    <t>жолоб FASERFIX®SUPER 150 с уклоном 0.5 % тип 7</t>
  </si>
  <si>
    <t>жолоб FASERFIX®SUPER 150 с уклоном 0.5 % тип 6</t>
  </si>
  <si>
    <t>жолоб FASERFIX®SUPER 150 с уклоном 0.5 % тип 5</t>
  </si>
  <si>
    <t>жолоб FASERFIX®SUPER 150 с уклоном 0.5 % тип 4</t>
  </si>
  <si>
    <t>жолоб FASERFIX®SUPER 150 с уклоном 0.5 % тип 3</t>
  </si>
  <si>
    <t>жолоб FASERFIX®SUPER 150 с уклоном 0.5 % тип 2</t>
  </si>
  <si>
    <t>жолоб FASERFIX®SUPER 150 с уклоном 0.5 % тип 1</t>
  </si>
  <si>
    <t>о9</t>
  </si>
  <si>
    <t>о10</t>
  </si>
  <si>
    <t>о11</t>
  </si>
  <si>
    <t>о12</t>
  </si>
  <si>
    <t>к12</t>
  </si>
  <si>
    <t>н=200</t>
  </si>
  <si>
    <t>высота</t>
  </si>
  <si>
    <t>Пескоуловитель</t>
  </si>
  <si>
    <t>жолоб FASERFIX®SUPER 150 тип 01</t>
  </si>
  <si>
    <t>жолоб FASERFIX®SUPER 150 тип 020</t>
  </si>
  <si>
    <t>жолоб FASERFIX®SUPER 150 тип 010</t>
  </si>
  <si>
    <t>Артикул</t>
  </si>
  <si>
    <t>Найменування</t>
  </si>
  <si>
    <t>Кількість, шт.</t>
  </si>
  <si>
    <t>Пісковловлювач HAURATON Recyfix Standard 100 (150х 488х 500), РР-РЕ, з пластик. корзиною, 0.5м.п.</t>
  </si>
  <si>
    <t>Решітка HAURATON Recyfix Standard 100 оцинк. щілинна (SW 9 мм), кл. CAR TRAFFIC, 1 м.п.</t>
  </si>
  <si>
    <t>Решітка HAURATON Recyfix Standard 100 оцинк. щілинна (SW 9 мм), кл. CAR TRAFFIC, 0.5 м.п.</t>
  </si>
  <si>
    <t>Перекладина HAURATON Recyfix Standard 100 для оцинк. або чавун. решітки щілинної/GUGI прямокут. отвір</t>
  </si>
  <si>
    <t>Герметик Tenalux 112M, 600 ml</t>
  </si>
  <si>
    <t>Болт M8х40 HAURATON Recyfix Standard 100 для кріплення перекладини арт. 47099, колір сірий</t>
  </si>
  <si>
    <t>Жолоб HAURATON Recyfix Standard 100 (150х 134х 1000), тип 01, РР-РЕ, 1м.п.</t>
  </si>
  <si>
    <t>Заглушка глуха HAURATON Recyfix Standard 100 тип 01</t>
  </si>
  <si>
    <t>Жолоб HAURATON Recyfix Standard 100 (150х 80х 1000), тип 80, РР-РЕ, 1м.п.</t>
  </si>
  <si>
    <t>Заглушка глуха HAURATON Recyfix Standard 100 тип 80</t>
  </si>
  <si>
    <t>Решітка HAURATON Recyfix Standard 100 чавунною щілинна (щель 14 мм), KTL, кл. C250, 0.5м.п.</t>
  </si>
  <si>
    <t>Болт M8х35 HAURATON Recyfix Standard 100 для кріплення перекладини (арт. 47099), колір чорний</t>
  </si>
  <si>
    <t>Жолоб HAURATON Recyfix Standard 100 (150х 60х 1000), тип 80, РР-РЕ, 1м.п.</t>
  </si>
  <si>
    <t>Перекладина HAURATON Recyfix Standard 100 для жолобу type 60 прямокут. Отвір</t>
  </si>
  <si>
    <t>Болт M8х30 HAURATON Recyfix Standard 100 для кріплення перекладини арт. 98200, для жолобу type 60, колір сірий</t>
  </si>
  <si>
    <t>Заглушка глуха HAURATON Recyfix Standard 100 тип 60</t>
  </si>
  <si>
    <t>Болт M8х30 HAURATON Recyfix Standard 100 для кріплення перекладини (арт. 98200) для жолобу type 60 (колір чорний)</t>
  </si>
  <si>
    <t>Жолоб HAURATON Recyfix Standard 100 (150х 185х 1000), тип 010, РР-РЕ, 1м.п.</t>
  </si>
  <si>
    <t>Заглушка глуха HAURATON Recyfix Standard 100 тип 010</t>
  </si>
  <si>
    <t>Жолоб HAURATON Recyfix Standard 100 (150х 60х 1000), тип 60, РР-РЕ, 1м.п.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</si>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</sst>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png"/><Relationship Id="rId1" Type="http://schemas.openxmlformats.org/officeDocument/2006/relationships/image" Target="../media/image1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.jpeg"/><Relationship Id="rId4" Type="http://schemas.openxmlformats.org/officeDocument/2006/relationships/image" Target="../media/image16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7.jpeg"/><Relationship Id="rId1" Type="http://schemas.openxmlformats.org/officeDocument/2006/relationships/image" Target="../media/image1.jpeg"/><Relationship Id="rId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14CB904-0BAE-44BF-B26F-307574594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163287</xdr:colOff>
      <xdr:row>12</xdr:row>
      <xdr:rowOff>217713</xdr:rowOff>
    </xdr:from>
    <xdr:to>
      <xdr:col>2</xdr:col>
      <xdr:colOff>3411341</xdr:colOff>
      <xdr:row>26</xdr:row>
      <xdr:rowOff>111577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39B7F93-452B-4AE4-AAC6-6CFF9BB2C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8" y="4626427"/>
          <a:ext cx="4173340" cy="2615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3796393</xdr:colOff>
      <xdr:row>14</xdr:row>
      <xdr:rowOff>81643</xdr:rowOff>
    </xdr:from>
    <xdr:to>
      <xdr:col>3</xdr:col>
      <xdr:colOff>1099457</xdr:colOff>
      <xdr:row>21</xdr:row>
      <xdr:rowOff>14968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400321E-36D6-43A2-B767-F722AFE2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4925786"/>
          <a:ext cx="5739493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EF98062-7AAE-4A12-A32D-97563F96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2</xdr:col>
      <xdr:colOff>3796393</xdr:colOff>
      <xdr:row>13</xdr:row>
      <xdr:rowOff>81643</xdr:rowOff>
    </xdr:from>
    <xdr:to>
      <xdr:col>3</xdr:col>
      <xdr:colOff>1099457</xdr:colOff>
      <xdr:row>20</xdr:row>
      <xdr:rowOff>14968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A92DDD3-6DCF-4C00-8C20-11E3ADE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9918" y="4920343"/>
          <a:ext cx="57422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214241</xdr:colOff>
      <xdr:row>11</xdr:row>
      <xdr:rowOff>55153</xdr:rowOff>
    </xdr:from>
    <xdr:to>
      <xdr:col>2</xdr:col>
      <xdr:colOff>3673929</xdr:colOff>
      <xdr:row>25</xdr:row>
      <xdr:rowOff>81641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455D44D-E041-4754-8B1E-8CA5144F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562" y="4463867"/>
          <a:ext cx="4384974" cy="2747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E636E9D-5BC6-488D-95DC-7665DF30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1</xdr:col>
      <xdr:colOff>380235</xdr:colOff>
      <xdr:row>12</xdr:row>
      <xdr:rowOff>76200</xdr:rowOff>
    </xdr:from>
    <xdr:to>
      <xdr:col>2</xdr:col>
      <xdr:colOff>2701743</xdr:colOff>
      <xdr:row>23</xdr:row>
      <xdr:rowOff>20411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FD4B7DA-8E0E-4003-8C5F-1DDF7524E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835" y="4278086"/>
          <a:ext cx="3279451" cy="2023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3050722</xdr:colOff>
      <xdr:row>12</xdr:row>
      <xdr:rowOff>200538</xdr:rowOff>
    </xdr:from>
    <xdr:to>
      <xdr:col>3</xdr:col>
      <xdr:colOff>1055915</xdr:colOff>
      <xdr:row>20</xdr:row>
      <xdr:rowOff>108856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5F97511-9EE0-48E9-8BB8-7C2AE516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8265" y="4402424"/>
          <a:ext cx="6681107" cy="1432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48B9BF4-60A6-432B-BCC9-936612104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0</xdr:col>
      <xdr:colOff>435429</xdr:colOff>
      <xdr:row>11</xdr:row>
      <xdr:rowOff>228941</xdr:rowOff>
    </xdr:from>
    <xdr:to>
      <xdr:col>2</xdr:col>
      <xdr:colOff>3429001</xdr:colOff>
      <xdr:row>27</xdr:row>
      <xdr:rowOff>34019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F4EE792-2224-4BCA-94FB-EE72E5021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9" y="4066155"/>
          <a:ext cx="4531179" cy="2907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3796393</xdr:colOff>
      <xdr:row>12</xdr:row>
      <xdr:rowOff>68036</xdr:rowOff>
    </xdr:from>
    <xdr:to>
      <xdr:col>3</xdr:col>
      <xdr:colOff>1096797</xdr:colOff>
      <xdr:row>19</xdr:row>
      <xdr:rowOff>63579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7FDB5DD-82DC-4FB6-B9CE-6B52FEC7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4150179"/>
          <a:ext cx="5736833" cy="1329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002DCF-B546-4A39-92EC-AD0320C4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8506" y="129005"/>
          <a:ext cx="2107643" cy="535023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353787</xdr:colOff>
      <xdr:row>12</xdr:row>
      <xdr:rowOff>40822</xdr:rowOff>
    </xdr:from>
    <xdr:to>
      <xdr:col>2</xdr:col>
      <xdr:colOff>3412673</xdr:colOff>
      <xdr:row>28</xdr:row>
      <xdr:rowOff>147656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B890718-B0F6-4E88-A501-80AFA638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7" y="4259036"/>
          <a:ext cx="4596493" cy="3209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3728358</xdr:colOff>
      <xdr:row>12</xdr:row>
      <xdr:rowOff>204108</xdr:rowOff>
    </xdr:from>
    <xdr:to>
      <xdr:col>3</xdr:col>
      <xdr:colOff>1031422</xdr:colOff>
      <xdr:row>20</xdr:row>
      <xdr:rowOff>146958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3A36394-E748-4578-B753-38A3626F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5" y="4422322"/>
          <a:ext cx="5739493" cy="1521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99D02AB-CF0D-4B36-B239-EB702914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1</xdr:col>
      <xdr:colOff>941129</xdr:colOff>
      <xdr:row>19</xdr:row>
      <xdr:rowOff>86528</xdr:rowOff>
    </xdr:from>
    <xdr:to>
      <xdr:col>2</xdr:col>
      <xdr:colOff>5214259</xdr:colOff>
      <xdr:row>26</xdr:row>
      <xdr:rowOff>87088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8B0BA8C-1C06-4444-A23F-E3585BA1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0729" y="5431414"/>
          <a:ext cx="5231073" cy="1295960"/>
        </a:xfrm>
        <a:prstGeom prst="rect">
          <a:avLst/>
        </a:prstGeom>
      </xdr:spPr>
    </xdr:pic>
    <xdr:clientData/>
  </xdr:twoCellAnchor>
  <xdr:twoCellAnchor editAs="oneCell">
    <xdr:from>
      <xdr:col>2</xdr:col>
      <xdr:colOff>5519057</xdr:colOff>
      <xdr:row>11</xdr:row>
      <xdr:rowOff>65315</xdr:rowOff>
    </xdr:from>
    <xdr:to>
      <xdr:col>3</xdr:col>
      <xdr:colOff>729344</xdr:colOff>
      <xdr:row>25</xdr:row>
      <xdr:rowOff>19099</xdr:rowOff>
    </xdr:to>
    <xdr:pic>
      <xdr:nvPicPr>
        <xdr:cNvPr id="3" name="Рисунок 2" descr="Drawing">
          <a:extLst>
            <a:ext uri="{FF2B5EF4-FFF2-40B4-BE49-F238E27FC236}">
              <a16:creationId xmlns:a16="http://schemas.microsoft.com/office/drawing/2014/main" id="{B12FD791-460F-4BAC-8A39-B4DA913C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886201"/>
          <a:ext cx="3886201" cy="2588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576650</xdr:colOff>
      <xdr:row>11</xdr:row>
      <xdr:rowOff>119742</xdr:rowOff>
    </xdr:from>
    <xdr:to>
      <xdr:col>2</xdr:col>
      <xdr:colOff>1992082</xdr:colOff>
      <xdr:row>20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A998DAC-3B42-44E6-A022-728473BE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250" y="3940628"/>
          <a:ext cx="2373375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3A5539F-DF41-42E3-A1ED-EBE1F49E5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12</xdr:row>
      <xdr:rowOff>25399</xdr:rowOff>
    </xdr:from>
    <xdr:to>
      <xdr:col>2</xdr:col>
      <xdr:colOff>1960149</xdr:colOff>
      <xdr:row>24</xdr:row>
      <xdr:rowOff>42796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759F027-EE02-43DD-89AF-6CEC30FA4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4216399"/>
          <a:ext cx="3166649" cy="2201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927100</xdr:colOff>
      <xdr:row>19</xdr:row>
      <xdr:rowOff>14526</xdr:rowOff>
    </xdr:from>
    <xdr:to>
      <xdr:col>2</xdr:col>
      <xdr:colOff>5894797</xdr:colOff>
      <xdr:row>26</xdr:row>
      <xdr:rowOff>76199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C3133C6-794C-4127-BA59-8098FED7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9200" y="5500926"/>
          <a:ext cx="4967697" cy="13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5943600</xdr:colOff>
      <xdr:row>12</xdr:row>
      <xdr:rowOff>88900</xdr:rowOff>
    </xdr:from>
    <xdr:to>
      <xdr:col>3</xdr:col>
      <xdr:colOff>1155701</xdr:colOff>
      <xdr:row>26</xdr:row>
      <xdr:rowOff>137027</xdr:rowOff>
    </xdr:to>
    <xdr:pic>
      <xdr:nvPicPr>
        <xdr:cNvPr id="3" name="Рисунок 2" descr="Drawing">
          <a:extLst>
            <a:ext uri="{FF2B5EF4-FFF2-40B4-BE49-F238E27FC236}">
              <a16:creationId xmlns:a16="http://schemas.microsoft.com/office/drawing/2014/main" id="{1B6D0795-63EC-4806-9EB0-E2218146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4279900"/>
          <a:ext cx="3886201" cy="2588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7460899</xdr:colOff>
      <xdr:row>0</xdr:row>
      <xdr:rowOff>129005</xdr:rowOff>
    </xdr:from>
    <xdr:to>
      <xdr:col>3</xdr:col>
      <xdr:colOff>1132113</xdr:colOff>
      <xdr:row>2</xdr:row>
      <xdr:rowOff>283028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B30044C-F05F-4CBF-9192-B7C629DCF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424" y="129005"/>
          <a:ext cx="2110364" cy="535023"/>
        </a:xfrm>
        <a:prstGeom prst="rect">
          <a:avLst/>
        </a:prstGeom>
      </xdr:spPr>
    </xdr:pic>
    <xdr:clientData/>
  </xdr:twoCellAnchor>
  <xdr:twoCellAnchor editAs="oneCell">
    <xdr:from>
      <xdr:col>0</xdr:col>
      <xdr:colOff>283028</xdr:colOff>
      <xdr:row>11</xdr:row>
      <xdr:rowOff>89805</xdr:rowOff>
    </xdr:from>
    <xdr:to>
      <xdr:col>2</xdr:col>
      <xdr:colOff>1597479</xdr:colOff>
      <xdr:row>22</xdr:row>
      <xdr:rowOff>88296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BC3BB1-B9E1-429C-A31B-899528B82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8" y="3910691"/>
          <a:ext cx="2881994" cy="2077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5889171</xdr:colOff>
      <xdr:row>11</xdr:row>
      <xdr:rowOff>115881</xdr:rowOff>
    </xdr:from>
    <xdr:to>
      <xdr:col>3</xdr:col>
      <xdr:colOff>1099458</xdr:colOff>
      <xdr:row>25</xdr:row>
      <xdr:rowOff>69665</xdr:rowOff>
    </xdr:to>
    <xdr:pic>
      <xdr:nvPicPr>
        <xdr:cNvPr id="3" name="Рисунок 2" descr="Drawing">
          <a:extLst>
            <a:ext uri="{FF2B5EF4-FFF2-40B4-BE49-F238E27FC236}">
              <a16:creationId xmlns:a16="http://schemas.microsoft.com/office/drawing/2014/main" id="{C10C0A02-79D0-5E5E-5EF6-FB5E1226D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6714" y="3936767"/>
          <a:ext cx="3886201" cy="2588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824592</xdr:colOff>
      <xdr:row>17</xdr:row>
      <xdr:rowOff>120133</xdr:rowOff>
    </xdr:from>
    <xdr:to>
      <xdr:col>2</xdr:col>
      <xdr:colOff>5769428</xdr:colOff>
      <xdr:row>24</xdr:row>
      <xdr:rowOff>172811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37DD10-347B-4286-BF25-0EC1AC1E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2135" y="5094904"/>
          <a:ext cx="4944836" cy="1348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4" workbookViewId="0">
      <selection activeCell="F9" sqref="F9"/>
    </sheetView>
  </sheetViews>
  <sheetFormatPr defaultRowHeight="14.4" x14ac:dyDescent="0.3"/>
  <cols>
    <col min="1" max="1" width="9.109375" style="1"/>
    <col min="2" max="2" width="53.44140625" customWidth="1"/>
    <col min="3" max="3" width="11.5546875" style="1" customWidth="1"/>
    <col min="6" max="6" width="9.109375" style="1"/>
  </cols>
  <sheetData>
    <row r="1" spans="1:6" x14ac:dyDescent="0.3">
      <c r="A1" s="1" t="s">
        <v>0</v>
      </c>
      <c r="B1" t="s">
        <v>1</v>
      </c>
      <c r="C1" s="1" t="s">
        <v>2</v>
      </c>
      <c r="F1" s="1" t="s">
        <v>28</v>
      </c>
    </row>
    <row r="2" spans="1:6" x14ac:dyDescent="0.3">
      <c r="A2" s="1">
        <v>22019</v>
      </c>
      <c r="B2" t="s">
        <v>3</v>
      </c>
      <c r="C2" s="1">
        <v>1</v>
      </c>
      <c r="F2" s="1">
        <v>310</v>
      </c>
    </row>
    <row r="3" spans="1:6" x14ac:dyDescent="0.3">
      <c r="A3" s="1">
        <f>A2-1</f>
        <v>22018</v>
      </c>
      <c r="B3" t="s">
        <v>4</v>
      </c>
      <c r="C3" s="1">
        <v>2</v>
      </c>
      <c r="F3" s="1">
        <v>305</v>
      </c>
    </row>
    <row r="4" spans="1:6" x14ac:dyDescent="0.3">
      <c r="A4" s="1">
        <f t="shared" ref="A4:A20" si="0">A3-1</f>
        <v>22017</v>
      </c>
      <c r="B4" t="s">
        <v>5</v>
      </c>
      <c r="C4" s="1">
        <v>2</v>
      </c>
      <c r="F4" s="1">
        <v>300</v>
      </c>
    </row>
    <row r="5" spans="1:6" s="3" customFormat="1" x14ac:dyDescent="0.3">
      <c r="A5" s="2">
        <f t="shared" si="0"/>
        <v>22016</v>
      </c>
      <c r="B5" s="3" t="s">
        <v>6</v>
      </c>
      <c r="C5" s="2">
        <v>3</v>
      </c>
      <c r="F5" s="2">
        <v>295</v>
      </c>
    </row>
    <row r="6" spans="1:6" x14ac:dyDescent="0.3">
      <c r="A6" s="1">
        <f t="shared" si="0"/>
        <v>22015</v>
      </c>
      <c r="B6" t="s">
        <v>7</v>
      </c>
      <c r="C6" s="1">
        <v>3</v>
      </c>
      <c r="F6" s="1">
        <v>290</v>
      </c>
    </row>
    <row r="7" spans="1:6" x14ac:dyDescent="0.3">
      <c r="A7" s="1">
        <f t="shared" si="0"/>
        <v>22014</v>
      </c>
      <c r="B7" t="s">
        <v>8</v>
      </c>
      <c r="C7" s="1">
        <v>3</v>
      </c>
      <c r="F7" s="1">
        <v>285</v>
      </c>
    </row>
    <row r="8" spans="1:6" x14ac:dyDescent="0.3">
      <c r="A8" s="1">
        <f t="shared" si="0"/>
        <v>22013</v>
      </c>
      <c r="B8" t="s">
        <v>9</v>
      </c>
      <c r="C8" s="1">
        <v>3</v>
      </c>
      <c r="F8" s="1">
        <v>280</v>
      </c>
    </row>
    <row r="9" spans="1:6" x14ac:dyDescent="0.3">
      <c r="A9" s="1">
        <f t="shared" si="0"/>
        <v>22012</v>
      </c>
      <c r="B9" t="s">
        <v>10</v>
      </c>
      <c r="C9" s="1">
        <v>8</v>
      </c>
      <c r="F9" s="1">
        <v>275</v>
      </c>
    </row>
    <row r="10" spans="1:6" x14ac:dyDescent="0.3">
      <c r="A10" s="1">
        <f t="shared" si="0"/>
        <v>22011</v>
      </c>
      <c r="B10" t="s">
        <v>11</v>
      </c>
      <c r="C10" s="1">
        <v>8</v>
      </c>
      <c r="F10" s="1">
        <v>270</v>
      </c>
    </row>
    <row r="11" spans="1:6" x14ac:dyDescent="0.3">
      <c r="A11" s="1">
        <f t="shared" si="0"/>
        <v>22010</v>
      </c>
      <c r="B11" t="s">
        <v>12</v>
      </c>
      <c r="C11" s="1">
        <v>8</v>
      </c>
      <c r="F11" s="1">
        <v>265</v>
      </c>
    </row>
    <row r="12" spans="1:6" x14ac:dyDescent="0.3">
      <c r="A12" s="1">
        <f t="shared" si="0"/>
        <v>22009</v>
      </c>
      <c r="B12" t="s">
        <v>13</v>
      </c>
      <c r="C12" s="1">
        <v>8</v>
      </c>
      <c r="F12" s="1">
        <v>260</v>
      </c>
    </row>
    <row r="13" spans="1:6" x14ac:dyDescent="0.3">
      <c r="A13" s="1">
        <f t="shared" si="0"/>
        <v>22008</v>
      </c>
      <c r="B13" t="s">
        <v>14</v>
      </c>
      <c r="C13" s="1">
        <v>9</v>
      </c>
      <c r="F13" s="1">
        <v>255</v>
      </c>
    </row>
    <row r="14" spans="1:6" x14ac:dyDescent="0.3">
      <c r="A14" s="1">
        <f t="shared" si="0"/>
        <v>22007</v>
      </c>
      <c r="B14" t="s">
        <v>15</v>
      </c>
      <c r="C14" s="1">
        <v>9</v>
      </c>
      <c r="F14" s="1">
        <v>250</v>
      </c>
    </row>
    <row r="15" spans="1:6" x14ac:dyDescent="0.3">
      <c r="A15" s="1">
        <f t="shared" si="0"/>
        <v>22006</v>
      </c>
      <c r="B15" t="s">
        <v>16</v>
      </c>
      <c r="C15" s="1">
        <v>9</v>
      </c>
      <c r="F15" s="1">
        <v>245</v>
      </c>
    </row>
    <row r="16" spans="1:6" x14ac:dyDescent="0.3">
      <c r="A16" s="1">
        <f t="shared" si="0"/>
        <v>22005</v>
      </c>
      <c r="B16" t="s">
        <v>17</v>
      </c>
      <c r="C16" s="1">
        <v>9</v>
      </c>
      <c r="F16" s="1">
        <v>240</v>
      </c>
    </row>
    <row r="17" spans="1:6" x14ac:dyDescent="0.3">
      <c r="A17" s="1">
        <f t="shared" si="0"/>
        <v>22004</v>
      </c>
      <c r="B17" t="s">
        <v>18</v>
      </c>
      <c r="C17" s="1">
        <v>10</v>
      </c>
      <c r="F17" s="1">
        <v>235</v>
      </c>
    </row>
    <row r="18" spans="1:6" x14ac:dyDescent="0.3">
      <c r="A18" s="1">
        <f t="shared" si="0"/>
        <v>22003</v>
      </c>
      <c r="B18" t="s">
        <v>19</v>
      </c>
      <c r="C18" s="1">
        <v>10</v>
      </c>
      <c r="F18" s="1">
        <v>230</v>
      </c>
    </row>
    <row r="19" spans="1:6" x14ac:dyDescent="0.3">
      <c r="A19" s="1">
        <f t="shared" si="0"/>
        <v>22002</v>
      </c>
      <c r="B19" t="s">
        <v>20</v>
      </c>
      <c r="C19" s="1">
        <v>10</v>
      </c>
      <c r="F19" s="1">
        <v>225</v>
      </c>
    </row>
    <row r="20" spans="1:6" x14ac:dyDescent="0.3">
      <c r="A20" s="1">
        <f t="shared" si="0"/>
        <v>22001</v>
      </c>
      <c r="B20" t="s">
        <v>21</v>
      </c>
      <c r="C20" s="1">
        <v>10</v>
      </c>
      <c r="E20" t="s">
        <v>22</v>
      </c>
      <c r="F20" s="1">
        <v>220</v>
      </c>
    </row>
    <row r="21" spans="1:6" x14ac:dyDescent="0.3">
      <c r="C21" s="1">
        <v>10</v>
      </c>
      <c r="E21" t="s">
        <v>23</v>
      </c>
      <c r="F21" s="1">
        <v>215</v>
      </c>
    </row>
    <row r="22" spans="1:6" x14ac:dyDescent="0.3">
      <c r="A22" s="1">
        <v>22044</v>
      </c>
      <c r="B22" t="s">
        <v>31</v>
      </c>
      <c r="C22" s="1">
        <v>10</v>
      </c>
      <c r="E22" t="s">
        <v>24</v>
      </c>
      <c r="F22" s="1">
        <v>210</v>
      </c>
    </row>
    <row r="23" spans="1:6" x14ac:dyDescent="0.3">
      <c r="A23" s="1">
        <v>22042</v>
      </c>
      <c r="B23" t="s">
        <v>32</v>
      </c>
      <c r="C23" s="1">
        <v>10</v>
      </c>
      <c r="E23" t="s">
        <v>25</v>
      </c>
      <c r="F23" s="1">
        <v>205</v>
      </c>
    </row>
    <row r="24" spans="1:6" x14ac:dyDescent="0.3">
      <c r="A24" s="1">
        <v>22000</v>
      </c>
      <c r="B24" t="s">
        <v>30</v>
      </c>
      <c r="C24" s="1">
        <v>73</v>
      </c>
      <c r="E24" t="s">
        <v>26</v>
      </c>
      <c r="F24" s="1" t="s">
        <v>27</v>
      </c>
    </row>
    <row r="25" spans="1:6" x14ac:dyDescent="0.3">
      <c r="B25" t="s">
        <v>29</v>
      </c>
      <c r="C25" s="1">
        <v>16</v>
      </c>
      <c r="E25">
        <f>SUM(C2:C24)</f>
        <v>228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C3C4-6EF4-4D0A-BC8B-75EDC4988219}">
  <dimension ref="B3:D22"/>
  <sheetViews>
    <sheetView showGridLines="0" zoomScale="70" zoomScaleNormal="70" workbookViewId="0">
      <selection activeCell="G7" sqref="G7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8" t="s">
        <v>33</v>
      </c>
      <c r="C4" s="9" t="s">
        <v>34</v>
      </c>
      <c r="D4" s="9" t="s">
        <v>35</v>
      </c>
    </row>
    <row r="5" spans="2:4" ht="30" customHeight="1" x14ac:dyDescent="0.3">
      <c r="B5" s="5">
        <v>40222</v>
      </c>
      <c r="C5" s="6" t="s">
        <v>48</v>
      </c>
      <c r="D5" s="17">
        <v>80</v>
      </c>
    </row>
    <row r="6" spans="2:4" ht="30" customHeight="1" x14ac:dyDescent="0.3">
      <c r="B6" s="12">
        <v>48052</v>
      </c>
      <c r="C6" s="11" t="s">
        <v>36</v>
      </c>
      <c r="D6" s="18">
        <v>0</v>
      </c>
    </row>
    <row r="7" spans="2:4" ht="30" customHeight="1" x14ac:dyDescent="0.3">
      <c r="B7" s="12">
        <v>5070</v>
      </c>
      <c r="C7" s="11" t="s">
        <v>37</v>
      </c>
      <c r="D7" s="10">
        <f>D5</f>
        <v>80</v>
      </c>
    </row>
    <row r="8" spans="2:4" ht="30" customHeight="1" x14ac:dyDescent="0.3">
      <c r="B8" s="12">
        <v>5071</v>
      </c>
      <c r="C8" s="11" t="s">
        <v>38</v>
      </c>
      <c r="D8" s="10">
        <f>D6</f>
        <v>0</v>
      </c>
    </row>
    <row r="9" spans="2:4" ht="30" customHeight="1" x14ac:dyDescent="0.3">
      <c r="B9" s="12">
        <v>98200</v>
      </c>
      <c r="C9" s="11" t="s">
        <v>49</v>
      </c>
      <c r="D9" s="10">
        <f>D7*2+D8</f>
        <v>160</v>
      </c>
    </row>
    <row r="10" spans="2:4" ht="45" customHeight="1" x14ac:dyDescent="0.3">
      <c r="B10" s="12">
        <v>91126</v>
      </c>
      <c r="C10" s="16" t="s">
        <v>50</v>
      </c>
      <c r="D10" s="10">
        <f>D9</f>
        <v>160</v>
      </c>
    </row>
    <row r="11" spans="2:4" ht="30" customHeight="1" x14ac:dyDescent="0.3">
      <c r="B11" s="12">
        <v>40284</v>
      </c>
      <c r="C11" s="11" t="s">
        <v>51</v>
      </c>
      <c r="D11" s="18">
        <v>1</v>
      </c>
    </row>
    <row r="12" spans="2:4" ht="30" customHeight="1" thickBot="1" x14ac:dyDescent="0.35">
      <c r="B12" s="13"/>
      <c r="C12" s="15" t="s">
        <v>40</v>
      </c>
      <c r="D12" s="14">
        <f>_xlfn.CEILING.MATH(((D5+D6)*0.18/10),1)</f>
        <v>2</v>
      </c>
    </row>
    <row r="13" spans="2:4" ht="18" x14ac:dyDescent="0.35">
      <c r="D13" s="4"/>
    </row>
    <row r="22" spans="4:4" x14ac:dyDescent="0.3">
      <c r="D22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E045-91A6-4B94-86B4-C51E0B3C580E}">
  <dimension ref="B3:D21"/>
  <sheetViews>
    <sheetView showGridLines="0" zoomScale="50" zoomScaleNormal="50" workbookViewId="0">
      <selection activeCell="D35" sqref="D35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8" t="s">
        <v>33</v>
      </c>
      <c r="C4" s="9" t="s">
        <v>34</v>
      </c>
      <c r="D4" s="9" t="s">
        <v>35</v>
      </c>
    </row>
    <row r="5" spans="2:4" ht="30" customHeight="1" x14ac:dyDescent="0.3">
      <c r="B5" s="5">
        <v>40222</v>
      </c>
      <c r="C5" s="6" t="s">
        <v>55</v>
      </c>
      <c r="D5" s="17">
        <v>80</v>
      </c>
    </row>
    <row r="6" spans="2:4" ht="30" customHeight="1" x14ac:dyDescent="0.3">
      <c r="B6" s="12">
        <v>48052</v>
      </c>
      <c r="C6" s="11" t="s">
        <v>36</v>
      </c>
      <c r="D6" s="18">
        <v>0</v>
      </c>
    </row>
    <row r="7" spans="2:4" ht="30" customHeight="1" x14ac:dyDescent="0.3">
      <c r="B7" s="12">
        <v>5866</v>
      </c>
      <c r="C7" s="11" t="s">
        <v>46</v>
      </c>
      <c r="D7" s="10">
        <f>D5*2+D6</f>
        <v>160</v>
      </c>
    </row>
    <row r="8" spans="2:4" ht="30" customHeight="1" x14ac:dyDescent="0.3">
      <c r="B8" s="12">
        <v>98200</v>
      </c>
      <c r="C8" s="11" t="s">
        <v>49</v>
      </c>
      <c r="D8" s="10">
        <f>D7</f>
        <v>160</v>
      </c>
    </row>
    <row r="9" spans="2:4" ht="45" customHeight="1" x14ac:dyDescent="0.3">
      <c r="B9" s="12">
        <v>99925</v>
      </c>
      <c r="C9" s="16" t="s">
        <v>52</v>
      </c>
      <c r="D9" s="10">
        <f>D8</f>
        <v>160</v>
      </c>
    </row>
    <row r="10" spans="2:4" ht="30" customHeight="1" x14ac:dyDescent="0.3">
      <c r="B10" s="12">
        <v>40284</v>
      </c>
      <c r="C10" s="11" t="s">
        <v>51</v>
      </c>
      <c r="D10" s="18">
        <v>1</v>
      </c>
    </row>
    <row r="11" spans="2:4" ht="30" customHeight="1" thickBot="1" x14ac:dyDescent="0.35">
      <c r="B11" s="13"/>
      <c r="C11" s="15" t="s">
        <v>40</v>
      </c>
      <c r="D11" s="14">
        <f>_xlfn.CEILING.MATH(((D5+D6)*0.18/10),1)</f>
        <v>2</v>
      </c>
    </row>
    <row r="12" spans="2:4" ht="18" x14ac:dyDescent="0.35">
      <c r="D12" s="4"/>
    </row>
    <row r="21" spans="4:4" x14ac:dyDescent="0.3">
      <c r="D21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F3A3-5796-477F-919B-1718BBC91784}">
  <dimension ref="B3:D22"/>
  <sheetViews>
    <sheetView showGridLines="0" zoomScale="70" zoomScaleNormal="70" workbookViewId="0">
      <selection activeCell="L8" sqref="L8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19" t="s">
        <v>33</v>
      </c>
      <c r="C4" s="20" t="s">
        <v>34</v>
      </c>
      <c r="D4" s="20" t="s">
        <v>35</v>
      </c>
    </row>
    <row r="5" spans="2:4" ht="30" customHeight="1" x14ac:dyDescent="0.3">
      <c r="B5" s="5">
        <v>40223</v>
      </c>
      <c r="C5" s="6" t="s">
        <v>44</v>
      </c>
      <c r="D5" s="10">
        <v>1</v>
      </c>
    </row>
    <row r="6" spans="2:4" ht="30" customHeight="1" x14ac:dyDescent="0.3">
      <c r="B6" s="12">
        <v>48052</v>
      </c>
      <c r="C6" s="11" t="s">
        <v>36</v>
      </c>
      <c r="D6" s="10">
        <v>0</v>
      </c>
    </row>
    <row r="7" spans="2:4" ht="30" customHeight="1" x14ac:dyDescent="0.3">
      <c r="B7" s="12">
        <v>5070</v>
      </c>
      <c r="C7" s="11" t="s">
        <v>37</v>
      </c>
      <c r="D7" s="10">
        <f>D5</f>
        <v>1</v>
      </c>
    </row>
    <row r="8" spans="2:4" ht="30" customHeight="1" x14ac:dyDescent="0.3">
      <c r="B8" s="12">
        <v>5071</v>
      </c>
      <c r="C8" s="11" t="s">
        <v>38</v>
      </c>
      <c r="D8" s="10">
        <f>D6</f>
        <v>0</v>
      </c>
    </row>
    <row r="9" spans="2:4" ht="30" customHeight="1" x14ac:dyDescent="0.3">
      <c r="B9" s="12">
        <v>47099</v>
      </c>
      <c r="C9" s="11" t="s">
        <v>39</v>
      </c>
      <c r="D9" s="10">
        <f>D5*2+D6</f>
        <v>2</v>
      </c>
    </row>
    <row r="10" spans="2:4" ht="30" customHeight="1" x14ac:dyDescent="0.3">
      <c r="B10" s="12">
        <v>91118</v>
      </c>
      <c r="C10" s="11" t="s">
        <v>41</v>
      </c>
      <c r="D10" s="10">
        <f>D9</f>
        <v>2</v>
      </c>
    </row>
    <row r="11" spans="2:4" ht="30" customHeight="1" x14ac:dyDescent="0.3">
      <c r="B11" s="12">
        <v>40291</v>
      </c>
      <c r="C11" s="11" t="s">
        <v>45</v>
      </c>
      <c r="D11" s="10">
        <v>1</v>
      </c>
    </row>
    <row r="12" spans="2:4" ht="30" customHeight="1" thickBot="1" x14ac:dyDescent="0.35">
      <c r="B12" s="13"/>
      <c r="C12" s="15" t="s">
        <v>40</v>
      </c>
      <c r="D12" s="10">
        <f>_xlfn.CEILING.MATH(((D5+D6)*0.22/10),1)</f>
        <v>1</v>
      </c>
    </row>
    <row r="13" spans="2:4" ht="18" x14ac:dyDescent="0.35">
      <c r="D13" s="4"/>
    </row>
    <row r="22" spans="4:4" x14ac:dyDescent="0.3">
      <c r="D22" s="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4A8A-3C82-43B0-B97E-6ED0F39F6288}">
  <dimension ref="B3:D21"/>
  <sheetViews>
    <sheetView showGridLines="0" zoomScale="70" zoomScaleNormal="70" workbookViewId="0">
      <selection activeCell="D7" sqref="D7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8" t="s">
        <v>33</v>
      </c>
      <c r="C4" s="9" t="s">
        <v>34</v>
      </c>
      <c r="D4" s="9" t="s">
        <v>35</v>
      </c>
    </row>
    <row r="5" spans="2:4" ht="30" customHeight="1" x14ac:dyDescent="0.3">
      <c r="B5" s="5">
        <v>40223</v>
      </c>
      <c r="C5" s="6" t="s">
        <v>44</v>
      </c>
      <c r="D5" s="17">
        <v>80</v>
      </c>
    </row>
    <row r="6" spans="2:4" ht="30" customHeight="1" x14ac:dyDescent="0.3">
      <c r="B6" s="12">
        <v>48052</v>
      </c>
      <c r="C6" s="11" t="s">
        <v>36</v>
      </c>
      <c r="D6" s="18">
        <v>0</v>
      </c>
    </row>
    <row r="7" spans="2:4" ht="30" customHeight="1" x14ac:dyDescent="0.3">
      <c r="B7" s="12">
        <v>5866</v>
      </c>
      <c r="C7" s="11" t="s">
        <v>46</v>
      </c>
      <c r="D7" s="10">
        <f>D5*2+D6</f>
        <v>160</v>
      </c>
    </row>
    <row r="8" spans="2:4" ht="30" customHeight="1" x14ac:dyDescent="0.3">
      <c r="B8" s="12">
        <v>47099</v>
      </c>
      <c r="C8" s="11" t="s">
        <v>39</v>
      </c>
      <c r="D8" s="10">
        <f>D7</f>
        <v>160</v>
      </c>
    </row>
    <row r="9" spans="2:4" ht="30" customHeight="1" x14ac:dyDescent="0.3">
      <c r="B9" s="12">
        <v>99906</v>
      </c>
      <c r="C9" s="11" t="s">
        <v>47</v>
      </c>
      <c r="D9" s="10">
        <f>D7</f>
        <v>160</v>
      </c>
    </row>
    <row r="10" spans="2:4" ht="30" customHeight="1" x14ac:dyDescent="0.3">
      <c r="B10" s="12">
        <v>40291</v>
      </c>
      <c r="C10" s="11" t="s">
        <v>45</v>
      </c>
      <c r="D10" s="18">
        <v>1</v>
      </c>
    </row>
    <row r="11" spans="2:4" ht="30" customHeight="1" thickBot="1" x14ac:dyDescent="0.35">
      <c r="B11" s="13"/>
      <c r="C11" s="15" t="s">
        <v>40</v>
      </c>
      <c r="D11" s="14">
        <f>_xlfn.CEILING.MATH(((D5+D6)*0.22/10),1)</f>
        <v>2</v>
      </c>
    </row>
    <row r="12" spans="2:4" ht="18" x14ac:dyDescent="0.35">
      <c r="D12" s="4"/>
    </row>
    <row r="21" spans="4:4" x14ac:dyDescent="0.3">
      <c r="D21" s="7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2"/>
  <sheetViews>
    <sheetView showGridLines="0" zoomScale="70" zoomScaleNormal="70" workbookViewId="0">
      <selection activeCell="K8" sqref="K8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19" t="s">
        <v>33</v>
      </c>
      <c r="C4" s="20" t="s">
        <v>34</v>
      </c>
      <c r="D4" s="20" t="s">
        <v>35</v>
      </c>
    </row>
    <row r="5" spans="2:4" ht="30" customHeight="1" x14ac:dyDescent="0.3">
      <c r="B5" s="5">
        <v>48000</v>
      </c>
      <c r="C5" s="6" t="s">
        <v>42</v>
      </c>
      <c r="D5" s="17">
        <v>80</v>
      </c>
    </row>
    <row r="6" spans="2:4" ht="30" customHeight="1" x14ac:dyDescent="0.3">
      <c r="B6" s="12">
        <v>48052</v>
      </c>
      <c r="C6" s="11" t="s">
        <v>36</v>
      </c>
      <c r="D6" s="18">
        <v>0</v>
      </c>
    </row>
    <row r="7" spans="2:4" ht="30" customHeight="1" x14ac:dyDescent="0.3">
      <c r="B7" s="12">
        <v>5070</v>
      </c>
      <c r="C7" s="11" t="s">
        <v>37</v>
      </c>
      <c r="D7" s="10">
        <f>D5</f>
        <v>80</v>
      </c>
    </row>
    <row r="8" spans="2:4" ht="30" customHeight="1" x14ac:dyDescent="0.3">
      <c r="B8" s="12">
        <v>5071</v>
      </c>
      <c r="C8" s="11" t="s">
        <v>38</v>
      </c>
      <c r="D8" s="10">
        <f>D6</f>
        <v>0</v>
      </c>
    </row>
    <row r="9" spans="2:4" ht="30" customHeight="1" x14ac:dyDescent="0.3">
      <c r="B9" s="12">
        <v>47099</v>
      </c>
      <c r="C9" s="11" t="s">
        <v>39</v>
      </c>
      <c r="D9" s="10">
        <f>D5*2+D6</f>
        <v>160</v>
      </c>
    </row>
    <row r="10" spans="2:4" ht="30" customHeight="1" x14ac:dyDescent="0.3">
      <c r="B10" s="12">
        <v>91118</v>
      </c>
      <c r="C10" s="11" t="s">
        <v>41</v>
      </c>
      <c r="D10" s="10">
        <f>D9</f>
        <v>160</v>
      </c>
    </row>
    <row r="11" spans="2:4" ht="30" customHeight="1" x14ac:dyDescent="0.3">
      <c r="B11" s="12">
        <v>48081</v>
      </c>
      <c r="C11" s="11" t="s">
        <v>43</v>
      </c>
      <c r="D11" s="18">
        <v>1</v>
      </c>
    </row>
    <row r="12" spans="2:4" ht="30" customHeight="1" thickBot="1" x14ac:dyDescent="0.35">
      <c r="B12" s="13"/>
      <c r="C12" s="15" t="s">
        <v>40</v>
      </c>
      <c r="D12" s="14">
        <f>_xlfn.CEILING.MATH(((D5+D6)*0.312/10),1)</f>
        <v>3</v>
      </c>
    </row>
    <row r="13" spans="2:4" ht="18" x14ac:dyDescent="0.35">
      <c r="D13" s="4"/>
    </row>
    <row r="22" spans="4:4" x14ac:dyDescent="0.3">
      <c r="D22" s="7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AED1-64EC-4962-9A89-F767279C3024}">
  <dimension ref="B3:I21"/>
  <sheetViews>
    <sheetView showGridLines="0" tabSelected="1" zoomScale="70" zoomScaleNormal="70" workbookViewId="0">
      <selection activeCell="I12" sqref="I12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9" ht="40.65" customHeight="1" thickBot="1" x14ac:dyDescent="0.35"/>
    <row r="4" spans="2:9" ht="21.6" thickBot="1" x14ac:dyDescent="0.35">
      <c r="B4" s="19" t="s">
        <v>33</v>
      </c>
      <c r="C4" s="20" t="s">
        <v>34</v>
      </c>
      <c r="D4" s="20" t="s">
        <v>35</v>
      </c>
    </row>
    <row r="5" spans="2:9" ht="30" customHeight="1" x14ac:dyDescent="0.3">
      <c r="B5" s="5">
        <v>48000</v>
      </c>
      <c r="C5" s="6" t="s">
        <v>42</v>
      </c>
      <c r="D5" s="10">
        <v>5</v>
      </c>
    </row>
    <row r="6" spans="2:9" ht="30" customHeight="1" x14ac:dyDescent="0.3">
      <c r="B6" s="12">
        <v>48052</v>
      </c>
      <c r="C6" s="11" t="s">
        <v>36</v>
      </c>
      <c r="D6" s="10">
        <v>1</v>
      </c>
    </row>
    <row r="7" spans="2:9" ht="30" customHeight="1" x14ac:dyDescent="0.3">
      <c r="B7" s="12">
        <v>5866</v>
      </c>
      <c r="C7" s="11" t="s">
        <v>46</v>
      </c>
      <c r="D7" s="10">
        <f>D5*2+D6</f>
        <v>11</v>
      </c>
    </row>
    <row r="8" spans="2:9" ht="30" customHeight="1" x14ac:dyDescent="0.3">
      <c r="B8" s="12">
        <v>47099</v>
      </c>
      <c r="C8" s="11" t="s">
        <v>39</v>
      </c>
      <c r="D8" s="10">
        <f>D7</f>
        <v>11</v>
      </c>
    </row>
    <row r="9" spans="2:9" ht="30" customHeight="1" x14ac:dyDescent="0.3">
      <c r="B9" s="12">
        <v>99906</v>
      </c>
      <c r="C9" s="11" t="s">
        <v>47</v>
      </c>
      <c r="D9" s="10">
        <f>D7</f>
        <v>11</v>
      </c>
    </row>
    <row r="10" spans="2:9" ht="30" customHeight="1" x14ac:dyDescent="0.3">
      <c r="B10" s="12">
        <v>48081</v>
      </c>
      <c r="C10" s="11" t="s">
        <v>43</v>
      </c>
      <c r="D10" s="10">
        <v>1</v>
      </c>
    </row>
    <row r="11" spans="2:9" ht="30" customHeight="1" thickBot="1" x14ac:dyDescent="0.35">
      <c r="B11" s="13"/>
      <c r="C11" s="15" t="s">
        <v>40</v>
      </c>
      <c r="D11" s="14">
        <f>_xlfn.CEILING.MATH(((D5+D6)*0.312/10),1)</f>
        <v>1</v>
      </c>
    </row>
    <row r="12" spans="2:9" ht="18" x14ac:dyDescent="0.35">
      <c r="D12" s="4"/>
      <c r="I12" t="s">
        <v>56</v>
      </c>
    </row>
    <row r="21" spans="4:4" x14ac:dyDescent="0.3">
      <c r="D21" s="7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0EB6-6684-437A-91FC-A2C9537E9233}">
  <dimension ref="B3:D22"/>
  <sheetViews>
    <sheetView showGridLines="0" zoomScale="70" zoomScaleNormal="70" workbookViewId="0">
      <selection activeCell="K8" sqref="K8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19" t="s">
        <v>33</v>
      </c>
      <c r="C4" s="20" t="s">
        <v>34</v>
      </c>
      <c r="D4" s="20" t="s">
        <v>35</v>
      </c>
    </row>
    <row r="5" spans="2:4" ht="30" customHeight="1" x14ac:dyDescent="0.3">
      <c r="B5" s="5">
        <v>40242</v>
      </c>
      <c r="C5" s="6" t="s">
        <v>53</v>
      </c>
      <c r="D5" s="10">
        <v>7</v>
      </c>
    </row>
    <row r="6" spans="2:4" ht="30" customHeight="1" x14ac:dyDescent="0.3">
      <c r="B6" s="12">
        <v>48052</v>
      </c>
      <c r="C6" s="11" t="s">
        <v>36</v>
      </c>
      <c r="D6" s="10">
        <v>1</v>
      </c>
    </row>
    <row r="7" spans="2:4" ht="30" customHeight="1" x14ac:dyDescent="0.3">
      <c r="B7" s="12">
        <v>5070</v>
      </c>
      <c r="C7" s="11" t="s">
        <v>37</v>
      </c>
      <c r="D7" s="10">
        <f>D5</f>
        <v>7</v>
      </c>
    </row>
    <row r="8" spans="2:4" ht="30" customHeight="1" x14ac:dyDescent="0.3">
      <c r="B8" s="12">
        <v>5071</v>
      </c>
      <c r="C8" s="11" t="s">
        <v>38</v>
      </c>
      <c r="D8" s="10">
        <f>D6</f>
        <v>1</v>
      </c>
    </row>
    <row r="9" spans="2:4" ht="30" customHeight="1" x14ac:dyDescent="0.3">
      <c r="B9" s="12">
        <v>47099</v>
      </c>
      <c r="C9" s="11" t="s">
        <v>39</v>
      </c>
      <c r="D9" s="10">
        <f>D5*2+D6</f>
        <v>15</v>
      </c>
    </row>
    <row r="10" spans="2:4" ht="30" customHeight="1" x14ac:dyDescent="0.3">
      <c r="B10" s="12">
        <v>91118</v>
      </c>
      <c r="C10" s="11" t="s">
        <v>41</v>
      </c>
      <c r="D10" s="10">
        <f>D9</f>
        <v>15</v>
      </c>
    </row>
    <row r="11" spans="2:4" ht="30" customHeight="1" x14ac:dyDescent="0.3">
      <c r="B11" s="12">
        <v>40282</v>
      </c>
      <c r="C11" s="11" t="s">
        <v>54</v>
      </c>
      <c r="D11" s="10">
        <v>0</v>
      </c>
    </row>
    <row r="12" spans="2:4" ht="30" customHeight="1" thickBot="1" x14ac:dyDescent="0.35">
      <c r="B12" s="13"/>
      <c r="C12" s="15" t="s">
        <v>40</v>
      </c>
      <c r="D12" s="10">
        <f>_xlfn.CEILING.MATH(((D5+D6)*0.412/10),1)</f>
        <v>1</v>
      </c>
    </row>
    <row r="13" spans="2:4" ht="18" x14ac:dyDescent="0.35">
      <c r="D13" s="4"/>
    </row>
    <row r="22" spans="4:4" x14ac:dyDescent="0.3">
      <c r="D22" s="7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FF23-4636-4E0F-A2E6-127EF947D56C}">
  <dimension ref="B3:D21"/>
  <sheetViews>
    <sheetView showGridLines="0" zoomScale="70" zoomScaleNormal="70" workbookViewId="0">
      <selection activeCell="I6" sqref="I6"/>
    </sheetView>
  </sheetViews>
  <sheetFormatPr defaultRowHeight="14.4" x14ac:dyDescent="0.3"/>
  <cols>
    <col min="2" max="2" width="13.88671875" style="1" customWidth="1"/>
    <col min="3" max="3" width="126.5546875" customWidth="1"/>
    <col min="4" max="4" width="18.109375" style="1" bestFit="1" customWidth="1"/>
  </cols>
  <sheetData>
    <row r="3" spans="2:4" ht="40.65" customHeight="1" thickBot="1" x14ac:dyDescent="0.35"/>
    <row r="4" spans="2:4" ht="21.6" thickBot="1" x14ac:dyDescent="0.35">
      <c r="B4" s="19" t="s">
        <v>33</v>
      </c>
      <c r="C4" s="20" t="s">
        <v>34</v>
      </c>
      <c r="D4" s="20" t="s">
        <v>35</v>
      </c>
    </row>
    <row r="5" spans="2:4" ht="30" customHeight="1" x14ac:dyDescent="0.3">
      <c r="B5" s="5">
        <v>40242</v>
      </c>
      <c r="C5" s="6" t="s">
        <v>53</v>
      </c>
      <c r="D5" s="10">
        <v>5</v>
      </c>
    </row>
    <row r="6" spans="2:4" ht="30" customHeight="1" x14ac:dyDescent="0.3">
      <c r="B6" s="12">
        <v>48052</v>
      </c>
      <c r="C6" s="11" t="s">
        <v>36</v>
      </c>
      <c r="D6" s="10">
        <v>1</v>
      </c>
    </row>
    <row r="7" spans="2:4" ht="30" customHeight="1" x14ac:dyDescent="0.3">
      <c r="B7" s="12">
        <v>5866</v>
      </c>
      <c r="C7" s="11" t="s">
        <v>46</v>
      </c>
      <c r="D7" s="10">
        <f>D5*2+D6</f>
        <v>11</v>
      </c>
    </row>
    <row r="8" spans="2:4" ht="30" customHeight="1" x14ac:dyDescent="0.3">
      <c r="B8" s="12">
        <v>47099</v>
      </c>
      <c r="C8" s="11" t="s">
        <v>39</v>
      </c>
      <c r="D8" s="10">
        <f>D5*2+D6</f>
        <v>11</v>
      </c>
    </row>
    <row r="9" spans="2:4" ht="30" customHeight="1" x14ac:dyDescent="0.3">
      <c r="B9" s="12">
        <v>99906</v>
      </c>
      <c r="C9" s="11" t="s">
        <v>47</v>
      </c>
      <c r="D9" s="10">
        <f>D8</f>
        <v>11</v>
      </c>
    </row>
    <row r="10" spans="2:4" ht="30" customHeight="1" x14ac:dyDescent="0.3">
      <c r="B10" s="12">
        <v>40282</v>
      </c>
      <c r="C10" s="11" t="s">
        <v>54</v>
      </c>
      <c r="D10" s="10">
        <v>1</v>
      </c>
    </row>
    <row r="11" spans="2:4" ht="30" customHeight="1" thickBot="1" x14ac:dyDescent="0.35">
      <c r="B11" s="13"/>
      <c r="C11" s="15" t="s">
        <v>40</v>
      </c>
      <c r="D11" s="14">
        <f>_xlfn.CEILING.MATH(((D5+D6)*0.412/10),1)</f>
        <v>1</v>
      </c>
    </row>
    <row r="12" spans="2:4" ht="18" x14ac:dyDescent="0.35">
      <c r="D12" s="4"/>
    </row>
    <row r="21" spans="4:4" x14ac:dyDescent="0.3">
      <c r="D21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9</vt:i4>
      </vt:variant>
    </vt:vector>
  </HeadingPairs>
  <TitlesOfParts>
    <vt:vector size="9" baseType="lpstr">
      <vt:lpstr>Лист1</vt:lpstr>
      <vt:lpstr>тип 60 оцинк</vt:lpstr>
      <vt:lpstr>тип 60 чавун</vt:lpstr>
      <vt:lpstr>тип 80 оцинк</vt:lpstr>
      <vt:lpstr>тип 80 чавун</vt:lpstr>
      <vt:lpstr>тип 01 оцинк</vt:lpstr>
      <vt:lpstr>тип 01 чавун</vt:lpstr>
      <vt:lpstr>тип 010 оцинк</vt:lpstr>
      <vt:lpstr>тип 010 чавун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Дарья Журило</cp:lastModifiedBy>
  <dcterms:created xsi:type="dcterms:W3CDTF">2022-09-12T09:03:36Z</dcterms:created>
  <dcterms:modified xsi:type="dcterms:W3CDTF">2025-07-30T09:57:34Z</dcterms:modified>
</cp:coreProperties>
</file>